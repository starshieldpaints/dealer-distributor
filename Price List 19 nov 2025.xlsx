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5f28a465f3591e/Documents/Price List/"/>
    </mc:Choice>
  </mc:AlternateContent>
  <xr:revisionPtr revIDLastSave="8" documentId="8_{17F70BA0-8A00-4CDE-879F-8D4F4E1ED496}" xr6:coauthVersionLast="47" xr6:coauthVersionMax="47" xr10:uidLastSave="{068F9A49-0743-41E2-BA3A-ADC757DF324C}"/>
  <bookViews>
    <workbookView xWindow="-120" yWindow="-120" windowWidth="20730" windowHeight="11040" xr2:uid="{0DB02A4D-C7F3-42EE-968D-7AF793579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33" i="1" l="1"/>
  <c r="M333" i="1"/>
  <c r="N333" i="1" s="1"/>
  <c r="O333" i="1" s="1"/>
  <c r="Q332" i="1"/>
  <c r="M332" i="1"/>
  <c r="N332" i="1" s="1"/>
  <c r="O332" i="1" s="1"/>
  <c r="Q331" i="1"/>
  <c r="M331" i="1"/>
  <c r="N331" i="1" s="1"/>
  <c r="O331" i="1" s="1"/>
  <c r="Q330" i="1"/>
  <c r="M330" i="1"/>
  <c r="N330" i="1" s="1"/>
  <c r="O330" i="1" s="1"/>
  <c r="Q329" i="1"/>
  <c r="N329" i="1"/>
  <c r="O329" i="1" s="1"/>
  <c r="M329" i="1"/>
  <c r="Q328" i="1"/>
  <c r="M328" i="1"/>
  <c r="N328" i="1" s="1"/>
  <c r="O328" i="1" s="1"/>
  <c r="Q327" i="1"/>
  <c r="M327" i="1"/>
  <c r="N327" i="1" s="1"/>
  <c r="O327" i="1" s="1"/>
  <c r="Q326" i="1"/>
  <c r="N326" i="1"/>
  <c r="O326" i="1" s="1"/>
  <c r="M326" i="1"/>
  <c r="Q325" i="1"/>
  <c r="M325" i="1"/>
  <c r="N325" i="1" s="1"/>
  <c r="O325" i="1" s="1"/>
  <c r="Q324" i="1"/>
  <c r="M324" i="1"/>
  <c r="N324" i="1" s="1"/>
  <c r="O324" i="1" s="1"/>
  <c r="Q323" i="1"/>
  <c r="N323" i="1"/>
  <c r="O323" i="1" s="1"/>
  <c r="M323" i="1"/>
  <c r="Q322" i="1"/>
  <c r="M322" i="1"/>
  <c r="N322" i="1" s="1"/>
  <c r="O322" i="1" s="1"/>
  <c r="Q321" i="1"/>
  <c r="M321" i="1"/>
  <c r="N321" i="1" s="1"/>
  <c r="O321" i="1" s="1"/>
  <c r="Q320" i="1"/>
  <c r="N320" i="1"/>
  <c r="O320" i="1" s="1"/>
  <c r="M320" i="1"/>
  <c r="Q319" i="1"/>
  <c r="M319" i="1"/>
  <c r="N319" i="1" s="1"/>
  <c r="O319" i="1" s="1"/>
  <c r="Q318" i="1"/>
  <c r="M318" i="1"/>
  <c r="N318" i="1" s="1"/>
  <c r="O318" i="1" s="1"/>
  <c r="Q317" i="1"/>
  <c r="M317" i="1"/>
  <c r="N317" i="1" s="1"/>
  <c r="O317" i="1" s="1"/>
  <c r="Q316" i="1"/>
  <c r="M316" i="1"/>
  <c r="N316" i="1" s="1"/>
  <c r="O316" i="1" s="1"/>
  <c r="Q315" i="1"/>
  <c r="M315" i="1"/>
  <c r="N315" i="1" s="1"/>
  <c r="O315" i="1" s="1"/>
  <c r="Q314" i="1"/>
  <c r="M314" i="1"/>
  <c r="N314" i="1" s="1"/>
  <c r="O314" i="1" s="1"/>
  <c r="Q313" i="1"/>
  <c r="N313" i="1"/>
  <c r="O313" i="1" s="1"/>
  <c r="M313" i="1"/>
  <c r="Q312" i="1"/>
  <c r="M312" i="1"/>
  <c r="N312" i="1" s="1"/>
  <c r="O312" i="1" s="1"/>
  <c r="Q311" i="1"/>
  <c r="M311" i="1"/>
  <c r="N311" i="1" s="1"/>
  <c r="O311" i="1" s="1"/>
  <c r="Q310" i="1"/>
  <c r="M310" i="1"/>
  <c r="N310" i="1" s="1"/>
  <c r="O310" i="1" s="1"/>
  <c r="Q309" i="1"/>
  <c r="M309" i="1"/>
  <c r="N309" i="1" s="1"/>
  <c r="O309" i="1" s="1"/>
  <c r="Q308" i="1"/>
  <c r="M308" i="1"/>
  <c r="N308" i="1" s="1"/>
  <c r="O308" i="1" s="1"/>
  <c r="Q307" i="1"/>
  <c r="M307" i="1"/>
  <c r="N307" i="1" s="1"/>
  <c r="O307" i="1" s="1"/>
  <c r="Q306" i="1"/>
  <c r="M306" i="1"/>
  <c r="N306" i="1" s="1"/>
  <c r="O306" i="1" s="1"/>
  <c r="Q305" i="1"/>
  <c r="N305" i="1"/>
  <c r="O305" i="1" s="1"/>
  <c r="M305" i="1"/>
  <c r="Q304" i="1"/>
  <c r="N304" i="1"/>
  <c r="O304" i="1" s="1"/>
  <c r="M304" i="1"/>
  <c r="Q303" i="1"/>
  <c r="N303" i="1"/>
  <c r="O303" i="1" s="1"/>
  <c r="M303" i="1"/>
  <c r="Q302" i="1"/>
  <c r="M302" i="1"/>
  <c r="N302" i="1" s="1"/>
  <c r="O302" i="1" s="1"/>
  <c r="Q301" i="1"/>
  <c r="M301" i="1"/>
  <c r="N301" i="1" s="1"/>
  <c r="O301" i="1" s="1"/>
  <c r="Q300" i="1"/>
  <c r="M300" i="1"/>
  <c r="N300" i="1" s="1"/>
  <c r="O300" i="1" s="1"/>
  <c r="Q299" i="1"/>
  <c r="M299" i="1"/>
  <c r="N299" i="1" s="1"/>
  <c r="O299" i="1" s="1"/>
  <c r="Q298" i="1"/>
  <c r="M298" i="1"/>
  <c r="N298" i="1" s="1"/>
  <c r="O298" i="1" s="1"/>
  <c r="Q297" i="1"/>
  <c r="N297" i="1"/>
  <c r="O297" i="1" s="1"/>
  <c r="M297" i="1"/>
  <c r="Q296" i="1"/>
  <c r="M296" i="1"/>
  <c r="N296" i="1" s="1"/>
  <c r="O296" i="1" s="1"/>
  <c r="Q295" i="1"/>
  <c r="M295" i="1"/>
  <c r="N295" i="1" s="1"/>
  <c r="O295" i="1" s="1"/>
  <c r="Q294" i="1"/>
  <c r="M294" i="1"/>
  <c r="N294" i="1" s="1"/>
  <c r="O294" i="1" s="1"/>
  <c r="Q293" i="1"/>
  <c r="N293" i="1"/>
  <c r="O293" i="1" s="1"/>
  <c r="M293" i="1"/>
  <c r="Q292" i="1"/>
  <c r="M292" i="1"/>
  <c r="N292" i="1" s="1"/>
  <c r="O292" i="1" s="1"/>
  <c r="Q291" i="1"/>
  <c r="M291" i="1"/>
  <c r="N291" i="1" s="1"/>
  <c r="O291" i="1" s="1"/>
  <c r="Q290" i="1"/>
  <c r="M290" i="1"/>
  <c r="N290" i="1" s="1"/>
  <c r="O290" i="1" s="1"/>
  <c r="Q289" i="1"/>
  <c r="M289" i="1"/>
  <c r="N289" i="1" s="1"/>
  <c r="O289" i="1" s="1"/>
  <c r="Q288" i="1"/>
  <c r="N288" i="1"/>
  <c r="O288" i="1" s="1"/>
  <c r="M288" i="1"/>
  <c r="Q287" i="1"/>
  <c r="M287" i="1"/>
  <c r="N287" i="1" s="1"/>
  <c r="O287" i="1" s="1"/>
  <c r="Q286" i="1"/>
  <c r="M286" i="1"/>
  <c r="N286" i="1" s="1"/>
  <c r="O286" i="1" s="1"/>
  <c r="Q285" i="1"/>
  <c r="M285" i="1"/>
  <c r="N285" i="1" s="1"/>
  <c r="O285" i="1" s="1"/>
  <c r="Q284" i="1"/>
  <c r="M284" i="1"/>
  <c r="N284" i="1" s="1"/>
  <c r="O284" i="1" s="1"/>
  <c r="Q283" i="1"/>
  <c r="M283" i="1"/>
  <c r="N283" i="1" s="1"/>
  <c r="O283" i="1" s="1"/>
  <c r="Q282" i="1"/>
  <c r="M282" i="1"/>
  <c r="N282" i="1" s="1"/>
  <c r="O282" i="1" s="1"/>
  <c r="Q281" i="1"/>
  <c r="N281" i="1"/>
  <c r="O281" i="1" s="1"/>
  <c r="M281" i="1"/>
  <c r="Q280" i="1"/>
  <c r="N280" i="1"/>
  <c r="O280" i="1" s="1"/>
  <c r="M280" i="1"/>
  <c r="Q279" i="1"/>
  <c r="M279" i="1"/>
  <c r="N279" i="1" s="1"/>
  <c r="O279" i="1" s="1"/>
  <c r="Q278" i="1"/>
  <c r="M278" i="1"/>
  <c r="N278" i="1" s="1"/>
  <c r="O278" i="1" s="1"/>
  <c r="Q277" i="1"/>
  <c r="M277" i="1"/>
  <c r="N277" i="1" s="1"/>
  <c r="O277" i="1" s="1"/>
  <c r="Q276" i="1"/>
  <c r="M276" i="1"/>
  <c r="N276" i="1" s="1"/>
  <c r="O276" i="1" s="1"/>
  <c r="Q275" i="1"/>
  <c r="M275" i="1"/>
  <c r="N275" i="1" s="1"/>
  <c r="O275" i="1" s="1"/>
  <c r="Q274" i="1"/>
  <c r="M274" i="1"/>
  <c r="N274" i="1" s="1"/>
  <c r="O274" i="1" s="1"/>
  <c r="Q273" i="1"/>
  <c r="M273" i="1"/>
  <c r="N273" i="1" s="1"/>
  <c r="O273" i="1" s="1"/>
  <c r="Q272" i="1"/>
  <c r="N272" i="1"/>
  <c r="O272" i="1" s="1"/>
  <c r="M272" i="1"/>
  <c r="Q271" i="1"/>
  <c r="M271" i="1"/>
  <c r="N271" i="1" s="1"/>
  <c r="O271" i="1" s="1"/>
  <c r="Q270" i="1"/>
  <c r="M270" i="1"/>
  <c r="N270" i="1" s="1"/>
  <c r="O270" i="1" s="1"/>
  <c r="Q269" i="1"/>
  <c r="M269" i="1"/>
  <c r="N269" i="1" s="1"/>
  <c r="O269" i="1" s="1"/>
  <c r="Q268" i="1"/>
  <c r="M268" i="1"/>
  <c r="N268" i="1" s="1"/>
  <c r="O268" i="1" s="1"/>
  <c r="Q267" i="1"/>
  <c r="M267" i="1"/>
  <c r="N267" i="1" s="1"/>
  <c r="O267" i="1" s="1"/>
  <c r="Q266" i="1"/>
  <c r="M266" i="1"/>
  <c r="N266" i="1" s="1"/>
  <c r="O266" i="1" s="1"/>
  <c r="Q265" i="1"/>
  <c r="N265" i="1"/>
  <c r="O265" i="1" s="1"/>
  <c r="M265" i="1"/>
  <c r="Q264" i="1"/>
  <c r="M264" i="1"/>
  <c r="N264" i="1" s="1"/>
  <c r="O264" i="1" s="1"/>
  <c r="Q263" i="1"/>
  <c r="M263" i="1"/>
  <c r="N263" i="1" s="1"/>
  <c r="O263" i="1" s="1"/>
  <c r="Q262" i="1"/>
  <c r="N262" i="1"/>
  <c r="O262" i="1" s="1"/>
  <c r="M262" i="1"/>
  <c r="Q261" i="1"/>
  <c r="M261" i="1"/>
  <c r="N261" i="1" s="1"/>
  <c r="O261" i="1" s="1"/>
  <c r="Q260" i="1"/>
  <c r="M260" i="1"/>
  <c r="N260" i="1" s="1"/>
  <c r="O260" i="1" s="1"/>
  <c r="Q256" i="1"/>
  <c r="N256" i="1"/>
  <c r="O256" i="1" s="1"/>
  <c r="M256" i="1"/>
  <c r="Q255" i="1"/>
  <c r="M255" i="1"/>
  <c r="N255" i="1" s="1"/>
  <c r="O255" i="1" s="1"/>
  <c r="Q254" i="1"/>
  <c r="M254" i="1"/>
  <c r="N254" i="1" s="1"/>
  <c r="O254" i="1" s="1"/>
  <c r="Q253" i="1"/>
  <c r="N253" i="1"/>
  <c r="O253" i="1" s="1"/>
  <c r="M253" i="1"/>
  <c r="Q252" i="1"/>
  <c r="M252" i="1"/>
  <c r="N252" i="1" s="1"/>
  <c r="O252" i="1" s="1"/>
  <c r="Q251" i="1"/>
  <c r="M251" i="1"/>
  <c r="N251" i="1" s="1"/>
  <c r="O251" i="1" s="1"/>
  <c r="Q250" i="1"/>
  <c r="M250" i="1"/>
  <c r="N250" i="1" s="1"/>
  <c r="O250" i="1" s="1"/>
  <c r="Q249" i="1"/>
  <c r="M249" i="1"/>
  <c r="N249" i="1" s="1"/>
  <c r="O249" i="1" s="1"/>
  <c r="Q248" i="1"/>
  <c r="M248" i="1"/>
  <c r="N248" i="1" s="1"/>
  <c r="O248" i="1" s="1"/>
  <c r="Q244" i="1"/>
  <c r="M244" i="1"/>
  <c r="N244" i="1" s="1"/>
  <c r="O244" i="1" s="1"/>
  <c r="Q243" i="1"/>
  <c r="N243" i="1"/>
  <c r="O243" i="1" s="1"/>
  <c r="M243" i="1"/>
  <c r="Q242" i="1"/>
  <c r="M242" i="1"/>
  <c r="N242" i="1" s="1"/>
  <c r="O242" i="1" s="1"/>
  <c r="Q241" i="1"/>
  <c r="M241" i="1"/>
  <c r="N241" i="1" s="1"/>
  <c r="O241" i="1" s="1"/>
  <c r="Q240" i="1"/>
  <c r="M240" i="1"/>
  <c r="N240" i="1" s="1"/>
  <c r="O240" i="1" s="1"/>
  <c r="Q239" i="1"/>
  <c r="M239" i="1"/>
  <c r="N239" i="1" s="1"/>
  <c r="O239" i="1" s="1"/>
  <c r="Q238" i="1"/>
  <c r="N238" i="1"/>
  <c r="O238" i="1" s="1"/>
  <c r="M238" i="1"/>
  <c r="Q237" i="1"/>
  <c r="M237" i="1"/>
  <c r="N237" i="1" s="1"/>
  <c r="O237" i="1" s="1"/>
  <c r="Q236" i="1"/>
  <c r="M236" i="1"/>
  <c r="N236" i="1" s="1"/>
  <c r="O236" i="1" s="1"/>
  <c r="Q235" i="1"/>
  <c r="M235" i="1"/>
  <c r="N235" i="1" s="1"/>
  <c r="O235" i="1" s="1"/>
  <c r="Q234" i="1"/>
  <c r="N234" i="1"/>
  <c r="O234" i="1" s="1"/>
  <c r="M234" i="1"/>
  <c r="Q233" i="1"/>
  <c r="N233" i="1"/>
  <c r="O233" i="1" s="1"/>
  <c r="M233" i="1"/>
  <c r="Q232" i="1"/>
  <c r="M232" i="1"/>
  <c r="N232" i="1" s="1"/>
  <c r="O232" i="1" s="1"/>
  <c r="Q231" i="1"/>
  <c r="M231" i="1"/>
  <c r="N231" i="1" s="1"/>
  <c r="O231" i="1" s="1"/>
  <c r="Q230" i="1"/>
  <c r="M230" i="1"/>
  <c r="N230" i="1" s="1"/>
  <c r="O230" i="1" s="1"/>
  <c r="Q229" i="1"/>
  <c r="M229" i="1"/>
  <c r="N229" i="1" s="1"/>
  <c r="O229" i="1" s="1"/>
  <c r="Q228" i="1"/>
  <c r="M228" i="1"/>
  <c r="N228" i="1" s="1"/>
  <c r="O228" i="1" s="1"/>
  <c r="Q227" i="1"/>
  <c r="N227" i="1"/>
  <c r="O227" i="1" s="1"/>
  <c r="M227" i="1"/>
  <c r="Q226" i="1"/>
  <c r="N226" i="1"/>
  <c r="O226" i="1" s="1"/>
  <c r="M226" i="1"/>
  <c r="Q225" i="1"/>
  <c r="M225" i="1"/>
  <c r="N225" i="1" s="1"/>
  <c r="O225" i="1" s="1"/>
  <c r="Q224" i="1"/>
  <c r="N224" i="1"/>
  <c r="O224" i="1" s="1"/>
  <c r="M224" i="1"/>
  <c r="Q223" i="1"/>
  <c r="M223" i="1"/>
  <c r="N223" i="1" s="1"/>
  <c r="O223" i="1" s="1"/>
  <c r="Q222" i="1"/>
  <c r="M222" i="1"/>
  <c r="N222" i="1" s="1"/>
  <c r="O222" i="1" s="1"/>
  <c r="Q221" i="1"/>
  <c r="N221" i="1"/>
  <c r="O221" i="1" s="1"/>
  <c r="M221" i="1"/>
  <c r="Q220" i="1"/>
  <c r="M220" i="1"/>
  <c r="N220" i="1" s="1"/>
  <c r="O220" i="1" s="1"/>
  <c r="Q219" i="1"/>
  <c r="M219" i="1"/>
  <c r="N219" i="1" s="1"/>
  <c r="O219" i="1" s="1"/>
  <c r="Q218" i="1"/>
  <c r="N218" i="1"/>
  <c r="O218" i="1" s="1"/>
  <c r="M218" i="1"/>
  <c r="Q217" i="1"/>
  <c r="M217" i="1"/>
  <c r="N217" i="1" s="1"/>
  <c r="O217" i="1" s="1"/>
  <c r="Q216" i="1"/>
  <c r="M216" i="1"/>
  <c r="N216" i="1" s="1"/>
  <c r="O216" i="1" s="1"/>
  <c r="Q215" i="1"/>
  <c r="M215" i="1"/>
  <c r="N215" i="1" s="1"/>
  <c r="O215" i="1" s="1"/>
  <c r="Q214" i="1"/>
  <c r="O214" i="1"/>
  <c r="N214" i="1"/>
  <c r="M214" i="1"/>
  <c r="Q213" i="1"/>
  <c r="M213" i="1"/>
  <c r="N213" i="1" s="1"/>
  <c r="O213" i="1" s="1"/>
  <c r="Q212" i="1"/>
  <c r="M212" i="1"/>
  <c r="N212" i="1" s="1"/>
  <c r="O212" i="1" s="1"/>
  <c r="Q211" i="1"/>
  <c r="N211" i="1"/>
  <c r="O211" i="1" s="1"/>
  <c r="M211" i="1"/>
  <c r="Q210" i="1"/>
  <c r="M210" i="1"/>
  <c r="N210" i="1" s="1"/>
  <c r="O210" i="1" s="1"/>
  <c r="Q209" i="1"/>
  <c r="N209" i="1"/>
  <c r="O209" i="1" s="1"/>
  <c r="M209" i="1"/>
  <c r="Q208" i="1"/>
  <c r="M208" i="1"/>
  <c r="N208" i="1" s="1"/>
  <c r="O208" i="1" s="1"/>
  <c r="Q207" i="1"/>
  <c r="M207" i="1"/>
  <c r="N207" i="1" s="1"/>
  <c r="O207" i="1" s="1"/>
  <c r="Q206" i="1"/>
  <c r="M206" i="1"/>
  <c r="N206" i="1" s="1"/>
  <c r="O206" i="1" s="1"/>
  <c r="Q205" i="1"/>
  <c r="M205" i="1"/>
  <c r="N205" i="1" s="1"/>
  <c r="O205" i="1" s="1"/>
  <c r="Q204" i="1"/>
  <c r="O204" i="1"/>
  <c r="M204" i="1"/>
  <c r="N204" i="1" s="1"/>
  <c r="Q203" i="1"/>
  <c r="M203" i="1"/>
  <c r="N203" i="1" s="1"/>
  <c r="O203" i="1" s="1"/>
  <c r="Q202" i="1"/>
  <c r="N202" i="1"/>
  <c r="O202" i="1" s="1"/>
  <c r="M202" i="1"/>
  <c r="Q201" i="1"/>
  <c r="M201" i="1"/>
  <c r="N201" i="1" s="1"/>
  <c r="O201" i="1" s="1"/>
  <c r="Q200" i="1"/>
  <c r="M200" i="1"/>
  <c r="N200" i="1" s="1"/>
  <c r="O200" i="1" s="1"/>
  <c r="Q199" i="1"/>
  <c r="N199" i="1"/>
  <c r="O199" i="1" s="1"/>
  <c r="M199" i="1"/>
  <c r="Q198" i="1"/>
  <c r="M198" i="1"/>
  <c r="N198" i="1" s="1"/>
  <c r="O198" i="1" s="1"/>
  <c r="Q196" i="1"/>
  <c r="M196" i="1"/>
  <c r="N196" i="1" s="1"/>
  <c r="O196" i="1" s="1"/>
  <c r="Q195" i="1"/>
  <c r="M195" i="1"/>
  <c r="N195" i="1" s="1"/>
  <c r="O195" i="1" s="1"/>
  <c r="Q194" i="1"/>
  <c r="N194" i="1"/>
  <c r="O194" i="1" s="1"/>
  <c r="M194" i="1"/>
  <c r="Q193" i="1"/>
  <c r="M193" i="1"/>
  <c r="N193" i="1" s="1"/>
  <c r="O193" i="1" s="1"/>
  <c r="Q192" i="1"/>
  <c r="M192" i="1"/>
  <c r="N192" i="1" s="1"/>
  <c r="O192" i="1" s="1"/>
  <c r="Q191" i="1"/>
  <c r="O191" i="1"/>
  <c r="N191" i="1"/>
  <c r="M191" i="1"/>
  <c r="Q190" i="1"/>
  <c r="M190" i="1"/>
  <c r="N190" i="1" s="1"/>
  <c r="O190" i="1" s="1"/>
  <c r="Q189" i="1"/>
  <c r="M189" i="1"/>
  <c r="N189" i="1" s="1"/>
  <c r="O189" i="1" s="1"/>
  <c r="Q188" i="1"/>
  <c r="M188" i="1"/>
  <c r="N188" i="1" s="1"/>
  <c r="O188" i="1" s="1"/>
  <c r="Q187" i="1"/>
  <c r="M187" i="1"/>
  <c r="N187" i="1" s="1"/>
  <c r="O187" i="1" s="1"/>
  <c r="Q186" i="1"/>
  <c r="N186" i="1"/>
  <c r="O186" i="1" s="1"/>
  <c r="M186" i="1"/>
  <c r="Q185" i="1"/>
  <c r="N185" i="1"/>
  <c r="O185" i="1" s="1"/>
  <c r="M185" i="1"/>
  <c r="Q184" i="1"/>
  <c r="N184" i="1"/>
  <c r="O184" i="1" s="1"/>
  <c r="M184" i="1"/>
  <c r="Q183" i="1"/>
  <c r="M183" i="1"/>
  <c r="N183" i="1" s="1"/>
  <c r="O183" i="1" s="1"/>
  <c r="Q182" i="1"/>
  <c r="M182" i="1"/>
  <c r="N182" i="1" s="1"/>
  <c r="O182" i="1" s="1"/>
  <c r="Q181" i="1"/>
  <c r="M181" i="1"/>
  <c r="N181" i="1" s="1"/>
  <c r="O181" i="1" s="1"/>
  <c r="Q180" i="1"/>
  <c r="M180" i="1"/>
  <c r="N180" i="1" s="1"/>
  <c r="O180" i="1" s="1"/>
  <c r="Q179" i="1"/>
  <c r="N179" i="1"/>
  <c r="O179" i="1" s="1"/>
  <c r="M179" i="1"/>
  <c r="Q178" i="1"/>
  <c r="N178" i="1"/>
  <c r="O178" i="1" s="1"/>
  <c r="M178" i="1"/>
  <c r="Q177" i="1"/>
  <c r="M177" i="1"/>
  <c r="N177" i="1" s="1"/>
  <c r="O177" i="1" s="1"/>
  <c r="Q176" i="1"/>
  <c r="M176" i="1"/>
  <c r="N176" i="1" s="1"/>
  <c r="O176" i="1" s="1"/>
  <c r="Q175" i="1"/>
  <c r="N175" i="1"/>
  <c r="O175" i="1" s="1"/>
  <c r="M175" i="1"/>
  <c r="Q174" i="1"/>
  <c r="N174" i="1"/>
  <c r="O174" i="1" s="1"/>
  <c r="M174" i="1"/>
  <c r="Q173" i="1"/>
  <c r="M173" i="1"/>
  <c r="N173" i="1" s="1"/>
  <c r="O173" i="1" s="1"/>
  <c r="Q172" i="1"/>
  <c r="N172" i="1"/>
  <c r="O172" i="1" s="1"/>
  <c r="M172" i="1"/>
  <c r="Q171" i="1"/>
  <c r="M171" i="1"/>
  <c r="N171" i="1" s="1"/>
  <c r="O171" i="1" s="1"/>
  <c r="Q170" i="1"/>
  <c r="M170" i="1"/>
  <c r="N170" i="1" s="1"/>
  <c r="O170" i="1" s="1"/>
  <c r="Q169" i="1"/>
  <c r="O169" i="1"/>
  <c r="N169" i="1"/>
  <c r="M169" i="1"/>
  <c r="Q168" i="1"/>
  <c r="M168" i="1"/>
  <c r="N168" i="1" s="1"/>
  <c r="O168" i="1" s="1"/>
  <c r="Q167" i="1"/>
  <c r="N167" i="1"/>
  <c r="O167" i="1" s="1"/>
  <c r="M167" i="1"/>
  <c r="Q166" i="1"/>
  <c r="M166" i="1"/>
  <c r="N166" i="1" s="1"/>
  <c r="O166" i="1" s="1"/>
  <c r="Q165" i="1"/>
  <c r="M165" i="1"/>
  <c r="N165" i="1" s="1"/>
  <c r="O165" i="1" s="1"/>
  <c r="Q164" i="1"/>
  <c r="M164" i="1"/>
  <c r="N164" i="1" s="1"/>
  <c r="O164" i="1" s="1"/>
  <c r="Q163" i="1"/>
  <c r="M163" i="1"/>
  <c r="N163" i="1" s="1"/>
  <c r="O163" i="1" s="1"/>
  <c r="Q162" i="1"/>
  <c r="N162" i="1"/>
  <c r="O162" i="1" s="1"/>
  <c r="M162" i="1"/>
  <c r="Q161" i="1"/>
  <c r="M161" i="1"/>
  <c r="N161" i="1" s="1"/>
  <c r="O161" i="1" s="1"/>
  <c r="Q160" i="1"/>
  <c r="N160" i="1"/>
  <c r="O160" i="1" s="1"/>
  <c r="M160" i="1"/>
  <c r="Q159" i="1"/>
  <c r="M159" i="1"/>
  <c r="N159" i="1" s="1"/>
  <c r="O159" i="1" s="1"/>
  <c r="Q158" i="1"/>
  <c r="M158" i="1"/>
  <c r="N158" i="1" s="1"/>
  <c r="O158" i="1" s="1"/>
  <c r="Q157" i="1"/>
  <c r="N157" i="1"/>
  <c r="O157" i="1" s="1"/>
  <c r="M157" i="1"/>
  <c r="Q156" i="1"/>
  <c r="M156" i="1"/>
  <c r="N156" i="1" s="1"/>
  <c r="O156" i="1" s="1"/>
  <c r="Q155" i="1"/>
  <c r="N155" i="1"/>
  <c r="O155" i="1" s="1"/>
  <c r="M155" i="1"/>
  <c r="Q154" i="1"/>
  <c r="M154" i="1"/>
  <c r="N154" i="1" s="1"/>
  <c r="O154" i="1" s="1"/>
  <c r="Q153" i="1"/>
  <c r="M153" i="1"/>
  <c r="N153" i="1" s="1"/>
  <c r="O153" i="1" s="1"/>
  <c r="Q152" i="1"/>
  <c r="M152" i="1"/>
  <c r="N152" i="1" s="1"/>
  <c r="O152" i="1" s="1"/>
  <c r="Q151" i="1"/>
  <c r="M151" i="1"/>
  <c r="N151" i="1" s="1"/>
  <c r="O151" i="1" s="1"/>
  <c r="Q150" i="1"/>
  <c r="M150" i="1"/>
  <c r="N150" i="1" s="1"/>
  <c r="O150" i="1" s="1"/>
  <c r="Q149" i="1"/>
  <c r="M149" i="1"/>
  <c r="N149" i="1" s="1"/>
  <c r="O149" i="1" s="1"/>
  <c r="Q148" i="1"/>
  <c r="O148" i="1"/>
  <c r="N148" i="1"/>
  <c r="M148" i="1"/>
  <c r="Q147" i="1"/>
  <c r="M147" i="1"/>
  <c r="N147" i="1" s="1"/>
  <c r="O147" i="1" s="1"/>
  <c r="Q146" i="1"/>
  <c r="N146" i="1"/>
  <c r="O146" i="1" s="1"/>
  <c r="M146" i="1"/>
  <c r="Q145" i="1"/>
  <c r="M145" i="1"/>
  <c r="N145" i="1" s="1"/>
  <c r="O145" i="1" s="1"/>
  <c r="Q144" i="1"/>
  <c r="M144" i="1"/>
  <c r="N144" i="1" s="1"/>
  <c r="O144" i="1" s="1"/>
  <c r="Q143" i="1"/>
  <c r="M143" i="1"/>
  <c r="N143" i="1" s="1"/>
  <c r="O143" i="1" s="1"/>
  <c r="Q142" i="1"/>
  <c r="N142" i="1"/>
  <c r="O142" i="1" s="1"/>
  <c r="M142" i="1"/>
  <c r="Q141" i="1"/>
  <c r="N141" i="1"/>
  <c r="O141" i="1" s="1"/>
  <c r="M141" i="1"/>
  <c r="Q140" i="1"/>
  <c r="M140" i="1"/>
  <c r="N140" i="1" s="1"/>
  <c r="O140" i="1" s="1"/>
  <c r="Q139" i="1"/>
  <c r="N139" i="1"/>
  <c r="O139" i="1" s="1"/>
  <c r="M139" i="1"/>
  <c r="Q138" i="1"/>
  <c r="M138" i="1"/>
  <c r="N138" i="1" s="1"/>
  <c r="O138" i="1" s="1"/>
  <c r="Q137" i="1"/>
  <c r="M137" i="1"/>
  <c r="N137" i="1" s="1"/>
  <c r="O137" i="1" s="1"/>
  <c r="Q136" i="1"/>
  <c r="M136" i="1"/>
  <c r="N136" i="1" s="1"/>
  <c r="O136" i="1" s="1"/>
  <c r="Q135" i="1"/>
  <c r="M135" i="1"/>
  <c r="N135" i="1" s="1"/>
  <c r="O135" i="1" s="1"/>
  <c r="Q134" i="1"/>
  <c r="M134" i="1"/>
  <c r="N134" i="1" s="1"/>
  <c r="O134" i="1" s="1"/>
  <c r="Q133" i="1"/>
  <c r="M133" i="1"/>
  <c r="N133" i="1" s="1"/>
  <c r="O133" i="1" s="1"/>
  <c r="Q132" i="1"/>
  <c r="O132" i="1"/>
  <c r="N132" i="1"/>
  <c r="M132" i="1"/>
  <c r="Q131" i="1"/>
  <c r="M131" i="1"/>
  <c r="N131" i="1" s="1"/>
  <c r="O131" i="1" s="1"/>
  <c r="Q130" i="1"/>
  <c r="N130" i="1"/>
  <c r="O130" i="1" s="1"/>
  <c r="M130" i="1"/>
  <c r="Q129" i="1"/>
  <c r="M129" i="1"/>
  <c r="N129" i="1" s="1"/>
  <c r="O129" i="1" s="1"/>
  <c r="Q128" i="1"/>
  <c r="M128" i="1"/>
  <c r="N128" i="1" s="1"/>
  <c r="O128" i="1" s="1"/>
  <c r="Q127" i="1"/>
  <c r="M127" i="1"/>
  <c r="N127" i="1" s="1"/>
  <c r="O127" i="1" s="1"/>
  <c r="Q126" i="1"/>
  <c r="M126" i="1"/>
  <c r="N126" i="1" s="1"/>
  <c r="O126" i="1" s="1"/>
  <c r="Q125" i="1"/>
  <c r="N125" i="1"/>
  <c r="O125" i="1" s="1"/>
  <c r="M125" i="1"/>
  <c r="Q124" i="1"/>
  <c r="M124" i="1"/>
  <c r="N124" i="1" s="1"/>
  <c r="O124" i="1" s="1"/>
  <c r="Q123" i="1"/>
  <c r="N123" i="1"/>
  <c r="O123" i="1" s="1"/>
  <c r="M123" i="1"/>
  <c r="Q122" i="1"/>
  <c r="M122" i="1"/>
  <c r="N122" i="1" s="1"/>
  <c r="O122" i="1" s="1"/>
  <c r="Q121" i="1"/>
  <c r="N121" i="1"/>
  <c r="O121" i="1" s="1"/>
  <c r="M121" i="1"/>
  <c r="Q120" i="1"/>
  <c r="M120" i="1"/>
  <c r="N120" i="1" s="1"/>
  <c r="O120" i="1" s="1"/>
  <c r="Q119" i="1"/>
  <c r="M119" i="1"/>
  <c r="N119" i="1" s="1"/>
  <c r="O119" i="1" s="1"/>
  <c r="Q118" i="1"/>
  <c r="M118" i="1"/>
  <c r="N118" i="1" s="1"/>
  <c r="O118" i="1" s="1"/>
  <c r="Q117" i="1"/>
  <c r="M117" i="1"/>
  <c r="N117" i="1" s="1"/>
  <c r="O117" i="1" s="1"/>
  <c r="Q116" i="1"/>
  <c r="O116" i="1"/>
  <c r="N116" i="1"/>
  <c r="M116" i="1"/>
  <c r="Q115" i="1"/>
  <c r="M115" i="1"/>
  <c r="N115" i="1" s="1"/>
  <c r="O115" i="1" s="1"/>
  <c r="Q114" i="1"/>
  <c r="N114" i="1"/>
  <c r="O114" i="1" s="1"/>
  <c r="M114" i="1"/>
  <c r="Q113" i="1"/>
  <c r="M113" i="1"/>
  <c r="N113" i="1" s="1"/>
  <c r="O113" i="1" s="1"/>
  <c r="Q112" i="1"/>
  <c r="M112" i="1"/>
  <c r="N112" i="1" s="1"/>
  <c r="O112" i="1" s="1"/>
  <c r="Q111" i="1"/>
  <c r="M111" i="1"/>
  <c r="N111" i="1" s="1"/>
  <c r="O111" i="1" s="1"/>
  <c r="Q110" i="1"/>
  <c r="M110" i="1"/>
  <c r="N110" i="1" s="1"/>
  <c r="O110" i="1" s="1"/>
  <c r="Q109" i="1"/>
  <c r="N109" i="1"/>
  <c r="O109" i="1" s="1"/>
  <c r="M109" i="1"/>
  <c r="Q108" i="1"/>
  <c r="M108" i="1"/>
  <c r="N108" i="1" s="1"/>
  <c r="O108" i="1" s="1"/>
  <c r="Q107" i="1"/>
  <c r="N107" i="1"/>
  <c r="O107" i="1" s="1"/>
  <c r="M107" i="1"/>
  <c r="Q106" i="1"/>
  <c r="M106" i="1"/>
  <c r="N106" i="1" s="1"/>
  <c r="O106" i="1" s="1"/>
  <c r="Q105" i="1"/>
  <c r="M105" i="1"/>
  <c r="N105" i="1" s="1"/>
  <c r="O105" i="1" s="1"/>
  <c r="Q104" i="1"/>
  <c r="M104" i="1"/>
  <c r="N104" i="1" s="1"/>
  <c r="O104" i="1" s="1"/>
  <c r="Q103" i="1"/>
  <c r="N103" i="1"/>
  <c r="O103" i="1" s="1"/>
  <c r="M103" i="1"/>
  <c r="Q102" i="1"/>
  <c r="M102" i="1"/>
  <c r="N102" i="1" s="1"/>
  <c r="O102" i="1" s="1"/>
  <c r="Q101" i="1"/>
  <c r="M101" i="1"/>
  <c r="N101" i="1" s="1"/>
  <c r="O101" i="1" s="1"/>
  <c r="Q100" i="1"/>
  <c r="O100" i="1"/>
  <c r="N100" i="1"/>
  <c r="M100" i="1"/>
  <c r="Q99" i="1"/>
  <c r="M99" i="1"/>
  <c r="N99" i="1" s="1"/>
  <c r="O99" i="1" s="1"/>
  <c r="Q98" i="1"/>
  <c r="N98" i="1"/>
  <c r="O98" i="1" s="1"/>
  <c r="M98" i="1"/>
  <c r="Q97" i="1"/>
  <c r="M97" i="1"/>
  <c r="N97" i="1" s="1"/>
  <c r="O97" i="1" s="1"/>
  <c r="Q96" i="1"/>
  <c r="M96" i="1"/>
  <c r="N96" i="1" s="1"/>
  <c r="O96" i="1" s="1"/>
  <c r="Q95" i="1"/>
  <c r="M95" i="1"/>
  <c r="N95" i="1" s="1"/>
  <c r="O95" i="1" s="1"/>
  <c r="Q94" i="1"/>
  <c r="M94" i="1"/>
  <c r="N94" i="1" s="1"/>
  <c r="O94" i="1" s="1"/>
  <c r="Q93" i="1"/>
  <c r="N93" i="1"/>
  <c r="O93" i="1" s="1"/>
  <c r="M93" i="1"/>
  <c r="Q92" i="1"/>
  <c r="M92" i="1"/>
  <c r="N92" i="1" s="1"/>
  <c r="O92" i="1" s="1"/>
  <c r="Q91" i="1"/>
  <c r="N91" i="1"/>
  <c r="O91" i="1" s="1"/>
  <c r="M91" i="1"/>
  <c r="Q90" i="1"/>
  <c r="M90" i="1"/>
  <c r="N90" i="1" s="1"/>
  <c r="O90" i="1" s="1"/>
  <c r="Q89" i="1"/>
  <c r="M89" i="1"/>
  <c r="N89" i="1" s="1"/>
  <c r="O89" i="1" s="1"/>
  <c r="Q88" i="1"/>
  <c r="M88" i="1"/>
  <c r="N88" i="1" s="1"/>
  <c r="O88" i="1" s="1"/>
  <c r="Q87" i="1"/>
  <c r="M87" i="1"/>
  <c r="N87" i="1" s="1"/>
  <c r="O87" i="1" s="1"/>
  <c r="Q86" i="1"/>
  <c r="M86" i="1"/>
  <c r="N86" i="1" s="1"/>
  <c r="O86" i="1" s="1"/>
  <c r="Q85" i="1"/>
  <c r="M85" i="1"/>
  <c r="N85" i="1" s="1"/>
  <c r="O85" i="1" s="1"/>
  <c r="Q84" i="1"/>
  <c r="O84" i="1"/>
  <c r="N84" i="1"/>
  <c r="M84" i="1"/>
  <c r="Q83" i="1"/>
  <c r="M83" i="1"/>
  <c r="N83" i="1" s="1"/>
  <c r="O83" i="1" s="1"/>
  <c r="Q82" i="1"/>
  <c r="O82" i="1"/>
  <c r="N82" i="1"/>
  <c r="M82" i="1"/>
  <c r="Q81" i="1"/>
  <c r="M81" i="1"/>
  <c r="N81" i="1" s="1"/>
  <c r="O81" i="1" s="1"/>
  <c r="Q80" i="1"/>
  <c r="M80" i="1"/>
  <c r="N80" i="1" s="1"/>
  <c r="O80" i="1" s="1"/>
  <c r="Q79" i="1"/>
  <c r="M79" i="1"/>
  <c r="N79" i="1" s="1"/>
  <c r="O79" i="1" s="1"/>
  <c r="Q78" i="1"/>
  <c r="M78" i="1"/>
  <c r="N78" i="1" s="1"/>
  <c r="O78" i="1" s="1"/>
  <c r="Q77" i="1"/>
  <c r="N77" i="1"/>
  <c r="O77" i="1" s="1"/>
  <c r="M77" i="1"/>
  <c r="Q76" i="1"/>
  <c r="M76" i="1"/>
  <c r="N76" i="1" s="1"/>
  <c r="O76" i="1" s="1"/>
  <c r="Q75" i="1"/>
  <c r="N75" i="1"/>
  <c r="O75" i="1" s="1"/>
  <c r="M75" i="1"/>
  <c r="Q74" i="1"/>
  <c r="M74" i="1"/>
  <c r="N74" i="1" s="1"/>
  <c r="O74" i="1" s="1"/>
  <c r="Q73" i="1"/>
  <c r="M73" i="1"/>
  <c r="N73" i="1" s="1"/>
  <c r="O73" i="1" s="1"/>
  <c r="Q72" i="1"/>
  <c r="M72" i="1"/>
  <c r="N72" i="1" s="1"/>
  <c r="O72" i="1" s="1"/>
  <c r="Q71" i="1"/>
  <c r="M71" i="1"/>
  <c r="N71" i="1" s="1"/>
  <c r="O71" i="1" s="1"/>
  <c r="Q70" i="1"/>
  <c r="M70" i="1"/>
  <c r="N70" i="1" s="1"/>
  <c r="O70" i="1" s="1"/>
  <c r="Q69" i="1"/>
  <c r="M69" i="1"/>
  <c r="N69" i="1" s="1"/>
  <c r="O69" i="1" s="1"/>
  <c r="Q68" i="1"/>
  <c r="O68" i="1"/>
  <c r="N68" i="1"/>
  <c r="M68" i="1"/>
  <c r="Q67" i="1"/>
  <c r="M67" i="1"/>
  <c r="N67" i="1" s="1"/>
  <c r="O67" i="1" s="1"/>
  <c r="Q66" i="1"/>
  <c r="N66" i="1"/>
  <c r="O66" i="1" s="1"/>
  <c r="M66" i="1"/>
  <c r="Q65" i="1"/>
  <c r="M65" i="1"/>
  <c r="N65" i="1" s="1"/>
  <c r="O65" i="1" s="1"/>
  <c r="Q64" i="1"/>
  <c r="M64" i="1"/>
  <c r="N64" i="1" s="1"/>
  <c r="O64" i="1" s="1"/>
  <c r="Q63" i="1"/>
  <c r="M63" i="1"/>
  <c r="N63" i="1" s="1"/>
  <c r="O63" i="1" s="1"/>
  <c r="Q62" i="1"/>
  <c r="M62" i="1"/>
  <c r="N62" i="1" s="1"/>
  <c r="O62" i="1" s="1"/>
  <c r="Q61" i="1"/>
  <c r="N61" i="1"/>
  <c r="O61" i="1" s="1"/>
  <c r="M61" i="1"/>
  <c r="Q60" i="1"/>
  <c r="M60" i="1"/>
  <c r="N60" i="1" s="1"/>
  <c r="O60" i="1" s="1"/>
  <c r="Q59" i="1"/>
  <c r="N59" i="1"/>
  <c r="O59" i="1" s="1"/>
  <c r="M59" i="1"/>
  <c r="Q58" i="1"/>
  <c r="M58" i="1"/>
  <c r="N58" i="1" s="1"/>
  <c r="O58" i="1" s="1"/>
  <c r="Q57" i="1"/>
  <c r="M57" i="1"/>
  <c r="N57" i="1" s="1"/>
  <c r="O57" i="1" s="1"/>
  <c r="Q56" i="1"/>
  <c r="M56" i="1"/>
  <c r="N56" i="1" s="1"/>
  <c r="O56" i="1" s="1"/>
  <c r="Q55" i="1"/>
  <c r="M55" i="1"/>
  <c r="N55" i="1" s="1"/>
  <c r="O55" i="1" s="1"/>
  <c r="Q54" i="1"/>
  <c r="M54" i="1"/>
  <c r="N54" i="1" s="1"/>
  <c r="O54" i="1" s="1"/>
  <c r="Q53" i="1"/>
  <c r="M53" i="1"/>
  <c r="N53" i="1" s="1"/>
  <c r="O53" i="1" s="1"/>
  <c r="Q52" i="1"/>
  <c r="O52" i="1"/>
  <c r="N52" i="1"/>
  <c r="M52" i="1"/>
  <c r="Q51" i="1"/>
  <c r="M51" i="1"/>
  <c r="N51" i="1" s="1"/>
  <c r="O51" i="1" s="1"/>
  <c r="Q50" i="1"/>
  <c r="N50" i="1"/>
  <c r="O50" i="1" s="1"/>
  <c r="M50" i="1"/>
  <c r="Q49" i="1"/>
  <c r="M49" i="1"/>
  <c r="N49" i="1" s="1"/>
  <c r="O49" i="1" s="1"/>
  <c r="Q48" i="1"/>
  <c r="N48" i="1"/>
  <c r="O48" i="1" s="1"/>
  <c r="M48" i="1"/>
  <c r="Q47" i="1"/>
  <c r="M47" i="1"/>
  <c r="N47" i="1" s="1"/>
  <c r="O47" i="1" s="1"/>
  <c r="Q46" i="1"/>
  <c r="N46" i="1"/>
  <c r="O46" i="1" s="1"/>
  <c r="M46" i="1"/>
  <c r="Q45" i="1"/>
  <c r="M45" i="1"/>
  <c r="N45" i="1" s="1"/>
  <c r="O45" i="1" s="1"/>
  <c r="Q44" i="1"/>
  <c r="O44" i="1"/>
  <c r="N44" i="1"/>
  <c r="M44" i="1"/>
  <c r="Q43" i="1"/>
  <c r="M43" i="1"/>
  <c r="N43" i="1" s="1"/>
  <c r="O43" i="1" s="1"/>
  <c r="Q42" i="1"/>
  <c r="N42" i="1"/>
  <c r="O42" i="1" s="1"/>
  <c r="M42" i="1"/>
  <c r="Q41" i="1"/>
  <c r="M41" i="1"/>
  <c r="N41" i="1" s="1"/>
  <c r="O41" i="1" s="1"/>
  <c r="Q40" i="1"/>
  <c r="N40" i="1"/>
  <c r="O40" i="1" s="1"/>
  <c r="M40" i="1"/>
  <c r="Q39" i="1"/>
  <c r="M39" i="1"/>
  <c r="N39" i="1" s="1"/>
  <c r="O39" i="1" s="1"/>
  <c r="Q38" i="1"/>
  <c r="N38" i="1"/>
  <c r="O38" i="1" s="1"/>
  <c r="M38" i="1"/>
  <c r="Q37" i="1"/>
  <c r="M37" i="1"/>
  <c r="N37" i="1" s="1"/>
  <c r="O37" i="1" s="1"/>
  <c r="Q36" i="1"/>
  <c r="O36" i="1"/>
  <c r="N36" i="1"/>
  <c r="M36" i="1"/>
  <c r="Q35" i="1"/>
  <c r="M35" i="1"/>
  <c r="N35" i="1" s="1"/>
  <c r="O35" i="1" s="1"/>
  <c r="Q34" i="1"/>
  <c r="N34" i="1"/>
  <c r="O34" i="1" s="1"/>
  <c r="M34" i="1"/>
  <c r="Q33" i="1"/>
  <c r="M33" i="1"/>
  <c r="N33" i="1" s="1"/>
  <c r="O33" i="1" s="1"/>
  <c r="Q32" i="1"/>
  <c r="N32" i="1"/>
  <c r="O32" i="1" s="1"/>
  <c r="M32" i="1"/>
  <c r="Q31" i="1"/>
  <c r="M31" i="1"/>
  <c r="N31" i="1" s="1"/>
  <c r="O31" i="1" s="1"/>
  <c r="Q30" i="1"/>
  <c r="N30" i="1"/>
  <c r="O30" i="1" s="1"/>
  <c r="M30" i="1"/>
  <c r="Q29" i="1"/>
  <c r="M29" i="1"/>
  <c r="N29" i="1" s="1"/>
  <c r="O29" i="1" s="1"/>
  <c r="Q28" i="1"/>
  <c r="O28" i="1"/>
  <c r="N28" i="1"/>
  <c r="M28" i="1"/>
  <c r="Q27" i="1"/>
  <c r="M27" i="1"/>
  <c r="N27" i="1" s="1"/>
  <c r="O27" i="1" s="1"/>
  <c r="Q26" i="1"/>
  <c r="N26" i="1"/>
  <c r="O26" i="1" s="1"/>
  <c r="M26" i="1"/>
  <c r="Q25" i="1"/>
  <c r="M25" i="1"/>
  <c r="N25" i="1" s="1"/>
  <c r="O25" i="1" s="1"/>
  <c r="Q24" i="1"/>
  <c r="N24" i="1"/>
  <c r="O24" i="1" s="1"/>
  <c r="M24" i="1"/>
  <c r="Q23" i="1"/>
  <c r="M23" i="1"/>
  <c r="N23" i="1" s="1"/>
  <c r="O23" i="1" s="1"/>
  <c r="Q22" i="1"/>
  <c r="N22" i="1"/>
  <c r="O22" i="1" s="1"/>
  <c r="M22" i="1"/>
  <c r="Q21" i="1"/>
  <c r="M21" i="1"/>
  <c r="N21" i="1" s="1"/>
  <c r="O21" i="1" s="1"/>
  <c r="Q20" i="1"/>
  <c r="O20" i="1"/>
  <c r="N20" i="1"/>
  <c r="M20" i="1"/>
  <c r="Q19" i="1"/>
  <c r="M19" i="1"/>
  <c r="N19" i="1" s="1"/>
  <c r="O19" i="1" s="1"/>
  <c r="Q18" i="1"/>
  <c r="N18" i="1"/>
  <c r="O18" i="1" s="1"/>
  <c r="M18" i="1"/>
  <c r="Q17" i="1"/>
  <c r="M17" i="1"/>
  <c r="N17" i="1" s="1"/>
  <c r="O17" i="1" s="1"/>
  <c r="Q16" i="1"/>
  <c r="N16" i="1"/>
  <c r="O16" i="1" s="1"/>
  <c r="M16" i="1"/>
  <c r="Q15" i="1"/>
  <c r="M15" i="1"/>
  <c r="N15" i="1" s="1"/>
  <c r="O15" i="1" s="1"/>
  <c r="Q14" i="1"/>
  <c r="N14" i="1"/>
  <c r="O14" i="1" s="1"/>
  <c r="M14" i="1"/>
  <c r="Q13" i="1"/>
  <c r="M13" i="1"/>
  <c r="N13" i="1" s="1"/>
  <c r="O13" i="1" s="1"/>
  <c r="Q12" i="1"/>
  <c r="O12" i="1"/>
  <c r="N12" i="1"/>
  <c r="M12" i="1"/>
  <c r="Q11" i="1"/>
  <c r="M11" i="1"/>
  <c r="N11" i="1" s="1"/>
  <c r="O11" i="1" s="1"/>
  <c r="Q10" i="1"/>
  <c r="N10" i="1"/>
  <c r="O10" i="1" s="1"/>
  <c r="M10" i="1"/>
  <c r="Q9" i="1"/>
  <c r="M9" i="1"/>
  <c r="N9" i="1" s="1"/>
  <c r="O9" i="1" s="1"/>
  <c r="Q8" i="1"/>
  <c r="N8" i="1"/>
  <c r="O8" i="1" s="1"/>
  <c r="M8" i="1"/>
  <c r="Q7" i="1"/>
  <c r="M7" i="1"/>
  <c r="N7" i="1" s="1"/>
  <c r="O7" i="1" s="1"/>
  <c r="Q6" i="1"/>
  <c r="N6" i="1"/>
  <c r="O6" i="1" s="1"/>
  <c r="M6" i="1"/>
  <c r="Q5" i="1"/>
  <c r="M5" i="1"/>
  <c r="N5" i="1" s="1"/>
  <c r="O5" i="1" s="1"/>
  <c r="Q4" i="1"/>
  <c r="O4" i="1"/>
  <c r="N4" i="1"/>
  <c r="M4" i="1"/>
  <c r="Q3" i="1"/>
  <c r="M3" i="1"/>
  <c r="N3" i="1" s="1"/>
  <c r="O3" i="1" s="1"/>
</calcChain>
</file>

<file path=xl/sharedStrings.xml><?xml version="1.0" encoding="utf-8"?>
<sst xmlns="http://schemas.openxmlformats.org/spreadsheetml/2006/main" count="1168" uniqueCount="158">
  <si>
    <t>Category Name</t>
  </si>
  <si>
    <t>Product Name</t>
  </si>
  <si>
    <t>HSN</t>
  </si>
  <si>
    <t>QTY</t>
  </si>
  <si>
    <t>KGS/Ml/LTr</t>
  </si>
  <si>
    <t>Ratio</t>
  </si>
  <si>
    <t>Discount %</t>
  </si>
  <si>
    <t>Price without Tax</t>
  </si>
  <si>
    <t>DPL</t>
  </si>
  <si>
    <t>DPL With Tax</t>
  </si>
  <si>
    <t>Promo</t>
  </si>
  <si>
    <t>MRP</t>
  </si>
  <si>
    <t>Heat Protective</t>
  </si>
  <si>
    <t>Star</t>
  </si>
  <si>
    <t>Cool</t>
  </si>
  <si>
    <t>Shield</t>
  </si>
  <si>
    <t>1K</t>
  </si>
  <si>
    <t>Ltr</t>
  </si>
  <si>
    <t>ok</t>
  </si>
  <si>
    <t>+</t>
  </si>
  <si>
    <t>Extreme</t>
  </si>
  <si>
    <t>Walls</t>
  </si>
  <si>
    <t>Flexi</t>
  </si>
  <si>
    <t>Industrial</t>
  </si>
  <si>
    <t>2K</t>
  </si>
  <si>
    <t xml:space="preserve">Star </t>
  </si>
  <si>
    <t>Floor</t>
  </si>
  <si>
    <t>3K</t>
  </si>
  <si>
    <t>Kgs</t>
  </si>
  <si>
    <t xml:space="preserve">Cool </t>
  </si>
  <si>
    <t>Plaster</t>
  </si>
  <si>
    <t>Heat</t>
  </si>
  <si>
    <t>ML</t>
  </si>
  <si>
    <t>Xtreme</t>
  </si>
  <si>
    <t>Thermal</t>
  </si>
  <si>
    <t>Solvent</t>
  </si>
  <si>
    <t>insulation</t>
  </si>
  <si>
    <t>foam</t>
  </si>
  <si>
    <t>590/ltr</t>
  </si>
  <si>
    <t>Insulation</t>
  </si>
  <si>
    <t>Plus</t>
  </si>
  <si>
    <t>2k</t>
  </si>
  <si>
    <t>Fire</t>
  </si>
  <si>
    <t>Retardant</t>
  </si>
  <si>
    <t>Intumescent</t>
  </si>
  <si>
    <t>Fabric</t>
  </si>
  <si>
    <t>Waterproofing</t>
  </si>
  <si>
    <t>Water</t>
  </si>
  <si>
    <t>solvent</t>
  </si>
  <si>
    <t>water based</t>
  </si>
  <si>
    <t>concentrate</t>
  </si>
  <si>
    <t>Aqua</t>
  </si>
  <si>
    <t>Seal</t>
  </si>
  <si>
    <t>2:1</t>
  </si>
  <si>
    <t>Seal 2k</t>
  </si>
  <si>
    <t>Cement</t>
  </si>
  <si>
    <t>Cure</t>
  </si>
  <si>
    <t>Blocks</t>
  </si>
  <si>
    <t>transparent</t>
  </si>
  <si>
    <t>Proof</t>
  </si>
  <si>
    <t>Exterior</t>
  </si>
  <si>
    <t>interior</t>
  </si>
  <si>
    <t>Curing</t>
  </si>
  <si>
    <t>Water Curing Agent</t>
  </si>
  <si>
    <t>Smart Paints</t>
  </si>
  <si>
    <t>Smart</t>
  </si>
  <si>
    <t>Paint</t>
  </si>
  <si>
    <t>White Exterior</t>
  </si>
  <si>
    <t>Deep Base</t>
  </si>
  <si>
    <t>Pastal Base</t>
  </si>
  <si>
    <t>Neutral Base</t>
  </si>
  <si>
    <t>White Base Interior</t>
  </si>
  <si>
    <t>Premium</t>
  </si>
  <si>
    <t>Emulsion</t>
  </si>
  <si>
    <t>White Base Exterior</t>
  </si>
  <si>
    <t xml:space="preserve">Elegant </t>
  </si>
  <si>
    <t>Enamel</t>
  </si>
  <si>
    <t xml:space="preserve"> Flexi</t>
  </si>
  <si>
    <t xml:space="preserve">   </t>
  </si>
  <si>
    <t>PU</t>
  </si>
  <si>
    <t>Aurelia</t>
  </si>
  <si>
    <t>4:1</t>
  </si>
  <si>
    <t>Mosquito</t>
  </si>
  <si>
    <t>Basic</t>
  </si>
  <si>
    <t>Virus</t>
  </si>
  <si>
    <t>Rodent</t>
  </si>
  <si>
    <t>Gloss</t>
  </si>
  <si>
    <t>Water Based Enamel</t>
  </si>
  <si>
    <t>Oxy</t>
  </si>
  <si>
    <t xml:space="preserve">Texture </t>
  </si>
  <si>
    <t>Protective Coatings</t>
  </si>
  <si>
    <t>Lamination</t>
  </si>
  <si>
    <t>Metal</t>
  </si>
  <si>
    <t>3:1</t>
  </si>
  <si>
    <t>Solar</t>
  </si>
  <si>
    <t>shield</t>
  </si>
  <si>
    <t>With KIT</t>
  </si>
  <si>
    <t>Glass</t>
  </si>
  <si>
    <t>Transparent</t>
  </si>
  <si>
    <t>Transparent (KIT)</t>
  </si>
  <si>
    <t>Marine</t>
  </si>
  <si>
    <t>Red Oxide</t>
  </si>
  <si>
    <t>Primer</t>
  </si>
  <si>
    <t>Yellow Oxide</t>
  </si>
  <si>
    <t>Graffitti</t>
  </si>
  <si>
    <t>Solventbase</t>
  </si>
  <si>
    <t>Corrossion</t>
  </si>
  <si>
    <t>Rust</t>
  </si>
  <si>
    <t>Converter</t>
  </si>
  <si>
    <t>Acid</t>
  </si>
  <si>
    <t>Coil</t>
  </si>
  <si>
    <t>Wood</t>
  </si>
  <si>
    <t>Shield-2k</t>
  </si>
  <si>
    <t>2k PU- Aurelia</t>
  </si>
  <si>
    <t>melamine- Aurelia</t>
  </si>
  <si>
    <t>NC</t>
  </si>
  <si>
    <t>Sealer</t>
  </si>
  <si>
    <t>Clear</t>
  </si>
  <si>
    <t>Floor Coatings</t>
  </si>
  <si>
    <t>Shine</t>
  </si>
  <si>
    <t>Epoxy</t>
  </si>
  <si>
    <t>Flooring</t>
  </si>
  <si>
    <t>Primer Kit</t>
  </si>
  <si>
    <t>Screed Kit</t>
  </si>
  <si>
    <t>Top Coat Kit</t>
  </si>
  <si>
    <t>Clear /3D Top Coat KIT</t>
  </si>
  <si>
    <t>Metalic Top Coat Kit</t>
  </si>
  <si>
    <t>Texture Top Coat Kit</t>
  </si>
  <si>
    <t>Heavy Duty</t>
  </si>
  <si>
    <t>Skid</t>
  </si>
  <si>
    <t>Parking</t>
  </si>
  <si>
    <t>Road</t>
  </si>
  <si>
    <t>Marking</t>
  </si>
  <si>
    <t>Repair</t>
  </si>
  <si>
    <t>Damp</t>
  </si>
  <si>
    <t>Effloroscence</t>
  </si>
  <si>
    <t>Leak</t>
  </si>
  <si>
    <t>Colour</t>
  </si>
  <si>
    <t>Construction Chemicals</t>
  </si>
  <si>
    <t>Hydro</t>
  </si>
  <si>
    <t>Nature</t>
  </si>
  <si>
    <t>Glow</t>
  </si>
  <si>
    <t>White Base (Epoxy)</t>
  </si>
  <si>
    <t xml:space="preserve">Free with Glow Paint </t>
  </si>
  <si>
    <t xml:space="preserve">Damp </t>
  </si>
  <si>
    <t>WaterBase</t>
  </si>
  <si>
    <t>Water Based</t>
  </si>
  <si>
    <t>Color</t>
  </si>
  <si>
    <t>Paper</t>
  </si>
  <si>
    <t>Waterbase</t>
  </si>
  <si>
    <t>Polyster- Aurelia</t>
  </si>
  <si>
    <t>Car Care</t>
  </si>
  <si>
    <t>Anti Viral</t>
  </si>
  <si>
    <t>Nano coating</t>
  </si>
  <si>
    <t>Remover &amp; Thinners</t>
  </si>
  <si>
    <t>Remover</t>
  </si>
  <si>
    <t>Universal</t>
  </si>
  <si>
    <t>Thinner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</si>
</sst>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0"/>
      <name val="Roboto"/>
    </font>
    <font>
      <sz val="18"/>
      <color rgb="FFFFFFFF"/>
      <name val="Roboto"/>
    </font>
    <font>
      <sz val="11"/>
      <color theme="0"/>
      <name val="Roboto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8"/>
      <color rgb="FF000000"/>
      <name val="Roboto"/>
    </font>
    <font>
      <b/>
      <sz val="12"/>
      <color rgb="FF000000"/>
      <name val="Roboto"/>
    </font>
    <font>
      <b/>
      <sz val="12"/>
      <name val="Roboto"/>
    </font>
    <font>
      <sz val="11"/>
      <name val="Roboto"/>
    </font>
    <font>
      <b/>
      <sz val="11"/>
      <name val="Roboto"/>
    </font>
    <font>
      <b/>
      <sz val="12"/>
      <color theme="1"/>
      <name val="Robot"/>
    </font>
    <font>
      <b/>
      <sz val="12"/>
      <color theme="1"/>
      <name val="Roboto"/>
    </font>
    <font>
      <b/>
      <sz val="14"/>
      <color rgb="FF000000"/>
      <name val="Roboto"/>
    </font>
    <font>
      <b/>
      <sz val="12"/>
      <name val="Robot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theme="1"/>
      <name val="Roboto"/>
    </font>
  </fonts>
  <fills count="1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D955B8"/>
        <bgColor indexed="64"/>
      </patternFill>
    </fill>
    <fill>
      <patternFill patternType="solid">
        <fgColor rgb="FFB07BD7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43" fontId="14" fillId="0" borderId="1" xfId="1" applyFont="1" applyBorder="1"/>
    <xf numFmtId="43" fontId="14" fillId="4" borderId="1" xfId="1" applyFont="1" applyFill="1" applyBorder="1"/>
    <xf numFmtId="43" fontId="14" fillId="5" borderId="1" xfId="1" applyFont="1" applyFill="1" applyBorder="1"/>
    <xf numFmtId="43" fontId="7" fillId="4" borderId="1" xfId="1" applyFont="1" applyFill="1" applyBorder="1"/>
    <xf numFmtId="43" fontId="6" fillId="6" borderId="1" xfId="1" applyFont="1" applyFill="1" applyBorder="1"/>
    <xf numFmtId="43" fontId="0" fillId="8" borderId="0" xfId="0" applyNumberFormat="1" applyFill="1"/>
    <xf numFmtId="0" fontId="0" fillId="8" borderId="0" xfId="0" applyFill="1"/>
    <xf numFmtId="0" fontId="10" fillId="0" borderId="1" xfId="0" applyFont="1" applyBorder="1" applyAlignment="1">
      <alignment horizontal="center"/>
    </xf>
    <xf numFmtId="0" fontId="14" fillId="0" borderId="1" xfId="0" applyFont="1" applyBorder="1"/>
    <xf numFmtId="0" fontId="10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8" borderId="1" xfId="0" applyFont="1" applyFill="1" applyBorder="1"/>
    <xf numFmtId="0" fontId="14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14" fillId="8" borderId="1" xfId="0" quotePrefix="1" applyFont="1" applyFill="1" applyBorder="1"/>
    <xf numFmtId="20" fontId="14" fillId="8" borderId="1" xfId="0" quotePrefix="1" applyNumberFormat="1" applyFont="1" applyFill="1" applyBorder="1"/>
    <xf numFmtId="43" fontId="14" fillId="4" borderId="1" xfId="1" applyFont="1" applyFill="1" applyBorder="1" applyAlignment="1"/>
    <xf numFmtId="43" fontId="0" fillId="0" borderId="0" xfId="0" applyNumberFormat="1"/>
    <xf numFmtId="0" fontId="14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0" fillId="8" borderId="1" xfId="0" applyFont="1" applyFill="1" applyBorder="1"/>
    <xf numFmtId="0" fontId="10" fillId="3" borderId="1" xfId="0" applyFont="1" applyFill="1" applyBorder="1" applyAlignment="1">
      <alignment horizontal="center"/>
    </xf>
    <xf numFmtId="43" fontId="10" fillId="0" borderId="1" xfId="1" applyFont="1" applyBorder="1"/>
    <xf numFmtId="43" fontId="10" fillId="4" borderId="1" xfId="1" applyFont="1" applyFill="1" applyBorder="1"/>
    <xf numFmtId="43" fontId="17" fillId="4" borderId="1" xfId="1" applyFont="1" applyFill="1" applyBorder="1"/>
    <xf numFmtId="43" fontId="18" fillId="6" borderId="1" xfId="1" applyFont="1" applyFill="1" applyBorder="1"/>
    <xf numFmtId="43" fontId="19" fillId="6" borderId="1" xfId="1" applyFont="1" applyFill="1" applyBorder="1"/>
    <xf numFmtId="0" fontId="9" fillId="8" borderId="2" xfId="0" applyFont="1" applyFill="1" applyBorder="1" applyAlignment="1">
      <alignment vertical="center" wrapText="1"/>
    </xf>
    <xf numFmtId="0" fontId="9" fillId="8" borderId="3" xfId="0" applyFont="1" applyFill="1" applyBorder="1" applyAlignment="1">
      <alignment vertical="center" wrapText="1"/>
    </xf>
    <xf numFmtId="0" fontId="9" fillId="8" borderId="4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43" fontId="14" fillId="0" borderId="5" xfId="1" applyFont="1" applyBorder="1" applyAlignment="1">
      <alignment horizontal="center"/>
    </xf>
    <xf numFmtId="43" fontId="14" fillId="0" borderId="6" xfId="1" applyFont="1" applyBorder="1" applyAlignment="1">
      <alignment horizontal="center"/>
    </xf>
    <xf numFmtId="43" fontId="14" fillId="0" borderId="7" xfId="1" applyFont="1" applyBorder="1" applyAlignment="1">
      <alignment horizontal="center"/>
    </xf>
    <xf numFmtId="1" fontId="10" fillId="8" borderId="1" xfId="0" applyNumberFormat="1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9" fontId="6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85D9-AFDF-4797-890A-73AFBEAC0B85}">
  <sheetPr>
    <pageSetUpPr fitToPage="1"/>
  </sheetPr>
  <dimension ref="A1:R333"/>
  <sheetViews>
    <sheetView tabSelected="1" workbookViewId="0">
      <selection activeCell="F7" sqref="F7:F10"/>
    </sheetView>
  </sheetViews>
  <sheetFormatPr defaultRowHeight="15"/>
  <cols>
    <col min="1" max="1" width="25.7109375" bestFit="1" customWidth="1"/>
    <col min="2" max="2" width="5.140625" bestFit="1" customWidth="1"/>
    <col min="3" max="3" width="5.5703125" bestFit="1" customWidth="1"/>
    <col min="4" max="4" width="15.7109375" bestFit="1" customWidth="1"/>
    <col min="5" max="5" width="11.42578125" bestFit="1" customWidth="1"/>
    <col min="6" max="6" width="21.85546875" bestFit="1" customWidth="1"/>
    <col min="7" max="7" width="11.5703125" bestFit="1" customWidth="1"/>
    <col min="8" max="8" width="4" bestFit="1" customWidth="1"/>
    <col min="9" max="9" width="6.42578125" bestFit="1" customWidth="1"/>
    <col min="10" max="10" width="12.85546875" bestFit="1" customWidth="1"/>
    <col min="11" max="11" width="6.28515625" bestFit="1" customWidth="1"/>
    <col min="12" max="12" width="12.42578125" bestFit="1" customWidth="1"/>
    <col min="13" max="13" width="18.7109375" bestFit="1" customWidth="1"/>
    <col min="14" max="14" width="12.7109375" bestFit="1" customWidth="1"/>
    <col min="15" max="15" width="15.28515625" bestFit="1" customWidth="1"/>
    <col min="16" max="17" width="12.5703125" bestFit="1" customWidth="1"/>
  </cols>
  <sheetData>
    <row r="1" spans="1:18" ht="29.25" customHeight="1">
      <c r="A1" s="78" t="s">
        <v>0</v>
      </c>
      <c r="B1" s="79" t="s">
        <v>1</v>
      </c>
      <c r="C1" s="79"/>
      <c r="D1" s="79"/>
      <c r="E1" s="79"/>
      <c r="F1" s="79"/>
      <c r="G1" s="79" t="s">
        <v>2</v>
      </c>
      <c r="H1" s="80"/>
      <c r="I1" s="80" t="s">
        <v>3</v>
      </c>
      <c r="J1" s="74" t="s">
        <v>4</v>
      </c>
      <c r="K1" s="72" t="s">
        <v>5</v>
      </c>
      <c r="L1" s="73" t="s">
        <v>6</v>
      </c>
      <c r="M1" s="74" t="s">
        <v>7</v>
      </c>
      <c r="N1" s="75" t="s">
        <v>8</v>
      </c>
      <c r="O1" s="76" t="s">
        <v>9</v>
      </c>
      <c r="P1" s="77" t="s">
        <v>10</v>
      </c>
      <c r="Q1" s="70" t="s">
        <v>11</v>
      </c>
    </row>
    <row r="2" spans="1:18" ht="15" customHeight="1">
      <c r="A2" s="78"/>
      <c r="B2" s="79"/>
      <c r="C2" s="79"/>
      <c r="D2" s="79"/>
      <c r="E2" s="79"/>
      <c r="F2" s="79"/>
      <c r="G2" s="79"/>
      <c r="H2" s="80"/>
      <c r="I2" s="80"/>
      <c r="J2" s="74"/>
      <c r="K2" s="72"/>
      <c r="L2" s="73"/>
      <c r="M2" s="74"/>
      <c r="N2" s="75"/>
      <c r="O2" s="76"/>
      <c r="P2" s="77"/>
      <c r="Q2" s="70"/>
    </row>
    <row r="3" spans="1:18" s="14" customFormat="1" ht="15.75" customHeight="1">
      <c r="A3" s="66" t="s">
        <v>12</v>
      </c>
      <c r="B3" s="47">
        <v>1</v>
      </c>
      <c r="C3" s="47" t="s">
        <v>13</v>
      </c>
      <c r="D3" s="47" t="s">
        <v>14</v>
      </c>
      <c r="E3" s="47" t="s">
        <v>15</v>
      </c>
      <c r="F3" s="71"/>
      <c r="G3" s="48">
        <v>32099090</v>
      </c>
      <c r="H3" s="3" t="s">
        <v>16</v>
      </c>
      <c r="I3" s="4">
        <v>1</v>
      </c>
      <c r="J3" s="5" t="s">
        <v>17</v>
      </c>
      <c r="K3" s="6"/>
      <c r="L3" s="7">
        <v>14</v>
      </c>
      <c r="M3" s="8">
        <f t="shared" ref="M3:M80" si="0">P3/1.18</f>
        <v>415.25423728813564</v>
      </c>
      <c r="N3" s="9">
        <f t="shared" ref="N3:N80" si="1">M3-M3*L3%</f>
        <v>357.11864406779665</v>
      </c>
      <c r="O3" s="10">
        <f t="shared" ref="O3:O80" si="2">N3*1.18</f>
        <v>421.40000000000003</v>
      </c>
      <c r="P3" s="11">
        <v>490</v>
      </c>
      <c r="Q3" s="12">
        <f>P3*1.8+8</f>
        <v>890</v>
      </c>
      <c r="R3" s="13"/>
    </row>
    <row r="4" spans="1:18" s="14" customFormat="1" ht="15.75" customHeight="1">
      <c r="A4" s="67"/>
      <c r="B4" s="47"/>
      <c r="C4" s="47"/>
      <c r="D4" s="47"/>
      <c r="E4" s="47"/>
      <c r="F4" s="71"/>
      <c r="G4" s="48"/>
      <c r="H4" s="3" t="s">
        <v>16</v>
      </c>
      <c r="I4" s="4">
        <v>3.6</v>
      </c>
      <c r="J4" s="5" t="s">
        <v>17</v>
      </c>
      <c r="K4" s="6"/>
      <c r="L4" s="7">
        <v>14</v>
      </c>
      <c r="M4" s="8">
        <f t="shared" si="0"/>
        <v>1516.949152542373</v>
      </c>
      <c r="N4" s="9">
        <f t="shared" si="1"/>
        <v>1304.5762711864409</v>
      </c>
      <c r="O4" s="10">
        <f t="shared" si="2"/>
        <v>1539.4</v>
      </c>
      <c r="P4" s="11">
        <v>1790</v>
      </c>
      <c r="Q4" s="12">
        <f>P4*1.8-32</f>
        <v>3190</v>
      </c>
    </row>
    <row r="5" spans="1:18" s="14" customFormat="1" ht="15.75" customHeight="1">
      <c r="A5" s="67"/>
      <c r="B5" s="47"/>
      <c r="C5" s="47"/>
      <c r="D5" s="47"/>
      <c r="E5" s="47"/>
      <c r="F5" s="71"/>
      <c r="G5" s="48"/>
      <c r="H5" s="3" t="s">
        <v>16</v>
      </c>
      <c r="I5" s="4">
        <v>9.1</v>
      </c>
      <c r="J5" s="5" t="s">
        <v>17</v>
      </c>
      <c r="K5" s="6"/>
      <c r="L5" s="7">
        <v>14</v>
      </c>
      <c r="M5" s="8">
        <f t="shared" si="0"/>
        <v>3466.1016949152545</v>
      </c>
      <c r="N5" s="9">
        <f t="shared" si="1"/>
        <v>2980.8474576271187</v>
      </c>
      <c r="O5" s="10">
        <f t="shared" si="2"/>
        <v>3517.4</v>
      </c>
      <c r="P5" s="11">
        <v>4090</v>
      </c>
      <c r="Q5" s="12">
        <f>P5*1.8+28</f>
        <v>7390</v>
      </c>
    </row>
    <row r="6" spans="1:18" ht="15.75" customHeight="1">
      <c r="A6" s="67"/>
      <c r="B6" s="47"/>
      <c r="C6" s="47"/>
      <c r="D6" s="47"/>
      <c r="E6" s="47"/>
      <c r="F6" s="71"/>
      <c r="G6" s="48"/>
      <c r="H6" s="3" t="s">
        <v>16</v>
      </c>
      <c r="I6" s="15">
        <v>18.2</v>
      </c>
      <c r="J6" s="5" t="s">
        <v>17</v>
      </c>
      <c r="K6" s="16"/>
      <c r="L6" s="7">
        <v>14</v>
      </c>
      <c r="M6" s="8">
        <f t="shared" si="0"/>
        <v>6686.4406779661022</v>
      </c>
      <c r="N6" s="9">
        <f t="shared" si="1"/>
        <v>5750.3389830508477</v>
      </c>
      <c r="O6" s="10">
        <f t="shared" si="2"/>
        <v>6785.4</v>
      </c>
      <c r="P6" s="11">
        <v>7890</v>
      </c>
      <c r="Q6" s="12">
        <f>P6*1.8-12</f>
        <v>14190</v>
      </c>
      <c r="R6" t="s">
        <v>18</v>
      </c>
    </row>
    <row r="7" spans="1:18" ht="15.75" customHeight="1">
      <c r="A7" s="67"/>
      <c r="B7" s="47">
        <v>2</v>
      </c>
      <c r="C7" s="47" t="s">
        <v>13</v>
      </c>
      <c r="D7" s="47" t="s">
        <v>14</v>
      </c>
      <c r="E7" s="47" t="s">
        <v>15</v>
      </c>
      <c r="F7" s="47" t="s">
        <v>19</v>
      </c>
      <c r="G7" s="48">
        <v>39095000</v>
      </c>
      <c r="H7" s="3" t="s">
        <v>16</v>
      </c>
      <c r="I7" s="4">
        <v>1</v>
      </c>
      <c r="J7" s="5" t="s">
        <v>17</v>
      </c>
      <c r="K7" s="16"/>
      <c r="L7" s="7">
        <v>14</v>
      </c>
      <c r="M7" s="8">
        <f t="shared" si="0"/>
        <v>500</v>
      </c>
      <c r="N7" s="9">
        <f t="shared" si="1"/>
        <v>430</v>
      </c>
      <c r="O7" s="10">
        <f t="shared" si="2"/>
        <v>507.4</v>
      </c>
      <c r="P7" s="11">
        <v>590</v>
      </c>
      <c r="Q7" s="12">
        <f>P7*1.8+28</f>
        <v>1090</v>
      </c>
    </row>
    <row r="8" spans="1:18" ht="15.75" customHeight="1">
      <c r="A8" s="67"/>
      <c r="B8" s="47"/>
      <c r="C8" s="47"/>
      <c r="D8" s="47"/>
      <c r="E8" s="47"/>
      <c r="F8" s="47"/>
      <c r="G8" s="48"/>
      <c r="H8" s="3" t="s">
        <v>16</v>
      </c>
      <c r="I8" s="4">
        <v>3.6</v>
      </c>
      <c r="J8" s="5" t="s">
        <v>17</v>
      </c>
      <c r="K8" s="16"/>
      <c r="L8" s="7">
        <v>14</v>
      </c>
      <c r="M8" s="8">
        <f t="shared" si="0"/>
        <v>1601.6949152542375</v>
      </c>
      <c r="N8" s="9">
        <f t="shared" si="1"/>
        <v>1377.4576271186443</v>
      </c>
      <c r="O8" s="10">
        <f t="shared" si="2"/>
        <v>1625.4</v>
      </c>
      <c r="P8" s="11">
        <v>1890</v>
      </c>
      <c r="Q8" s="12">
        <f>P8*1.8-12</f>
        <v>3390</v>
      </c>
    </row>
    <row r="9" spans="1:18" ht="15.75" customHeight="1">
      <c r="A9" s="67"/>
      <c r="B9" s="47"/>
      <c r="C9" s="47"/>
      <c r="D9" s="47"/>
      <c r="E9" s="47"/>
      <c r="F9" s="47"/>
      <c r="G9" s="48"/>
      <c r="H9" s="3" t="s">
        <v>16</v>
      </c>
      <c r="I9" s="4">
        <v>9.1</v>
      </c>
      <c r="J9" s="5" t="s">
        <v>17</v>
      </c>
      <c r="K9" s="16"/>
      <c r="L9" s="7">
        <v>14</v>
      </c>
      <c r="M9" s="8">
        <f t="shared" si="0"/>
        <v>3889.8305084745766</v>
      </c>
      <c r="N9" s="9">
        <f t="shared" si="1"/>
        <v>3345.2542372881358</v>
      </c>
      <c r="O9" s="10">
        <f t="shared" si="2"/>
        <v>3947.4</v>
      </c>
      <c r="P9" s="11">
        <v>4590</v>
      </c>
      <c r="Q9" s="12">
        <f>P9*1.8-12</f>
        <v>8250</v>
      </c>
    </row>
    <row r="10" spans="1:18" ht="15.75" customHeight="1">
      <c r="A10" s="67"/>
      <c r="B10" s="47"/>
      <c r="C10" s="47"/>
      <c r="D10" s="47"/>
      <c r="E10" s="47"/>
      <c r="F10" s="47"/>
      <c r="G10" s="48"/>
      <c r="H10" s="3" t="s">
        <v>16</v>
      </c>
      <c r="I10" s="15">
        <v>18.2</v>
      </c>
      <c r="J10" s="5" t="s">
        <v>17</v>
      </c>
      <c r="K10" s="16"/>
      <c r="L10" s="7">
        <v>14</v>
      </c>
      <c r="M10" s="8">
        <f t="shared" si="0"/>
        <v>7618.6440677966102</v>
      </c>
      <c r="N10" s="9">
        <f t="shared" si="1"/>
        <v>6552.0338983050842</v>
      </c>
      <c r="O10" s="10">
        <f t="shared" si="2"/>
        <v>7731.3999999999987</v>
      </c>
      <c r="P10" s="11">
        <v>8990</v>
      </c>
      <c r="Q10" s="12">
        <f>P10*1.8+8</f>
        <v>16190</v>
      </c>
      <c r="R10" t="s">
        <v>18</v>
      </c>
    </row>
    <row r="11" spans="1:18" ht="15.75" customHeight="1">
      <c r="A11" s="67"/>
      <c r="B11" s="47">
        <v>3</v>
      </c>
      <c r="C11" s="47" t="s">
        <v>13</v>
      </c>
      <c r="D11" s="47" t="s">
        <v>14</v>
      </c>
      <c r="E11" s="47" t="s">
        <v>15</v>
      </c>
      <c r="F11" s="47" t="s">
        <v>20</v>
      </c>
      <c r="G11" s="48">
        <v>39095000</v>
      </c>
      <c r="H11" s="3" t="s">
        <v>16</v>
      </c>
      <c r="I11" s="4">
        <v>1</v>
      </c>
      <c r="J11" s="5" t="s">
        <v>17</v>
      </c>
      <c r="K11" s="16"/>
      <c r="L11" s="7">
        <v>14</v>
      </c>
      <c r="M11" s="8">
        <f t="shared" si="0"/>
        <v>754.2372881355933</v>
      </c>
      <c r="N11" s="9">
        <f t="shared" si="1"/>
        <v>648.64406779661022</v>
      </c>
      <c r="O11" s="10">
        <f t="shared" si="2"/>
        <v>765.4</v>
      </c>
      <c r="P11" s="11">
        <v>890</v>
      </c>
      <c r="Q11" s="12">
        <f>P11*1.8-12</f>
        <v>1590</v>
      </c>
    </row>
    <row r="12" spans="1:18" ht="15.75" customHeight="1">
      <c r="A12" s="67"/>
      <c r="B12" s="47"/>
      <c r="C12" s="47"/>
      <c r="D12" s="47"/>
      <c r="E12" s="47"/>
      <c r="F12" s="47"/>
      <c r="G12" s="48"/>
      <c r="H12" s="3" t="s">
        <v>16</v>
      </c>
      <c r="I12" s="4">
        <v>3.6</v>
      </c>
      <c r="J12" s="5" t="s">
        <v>17</v>
      </c>
      <c r="K12" s="16"/>
      <c r="L12" s="7">
        <v>14</v>
      </c>
      <c r="M12" s="8">
        <f t="shared" si="0"/>
        <v>2618.6440677966102</v>
      </c>
      <c r="N12" s="9">
        <f t="shared" si="1"/>
        <v>2252.0338983050847</v>
      </c>
      <c r="O12" s="10">
        <f t="shared" si="2"/>
        <v>2657.3999999999996</v>
      </c>
      <c r="P12" s="11">
        <v>3090</v>
      </c>
      <c r="Q12" s="12">
        <f>P12*1.8+28</f>
        <v>5590</v>
      </c>
    </row>
    <row r="13" spans="1:18" ht="15.75" customHeight="1">
      <c r="A13" s="67"/>
      <c r="B13" s="47"/>
      <c r="C13" s="47"/>
      <c r="D13" s="47"/>
      <c r="E13" s="47"/>
      <c r="F13" s="47"/>
      <c r="G13" s="48"/>
      <c r="H13" s="3" t="s">
        <v>16</v>
      </c>
      <c r="I13" s="4">
        <v>9.1</v>
      </c>
      <c r="J13" s="5" t="s">
        <v>17</v>
      </c>
      <c r="K13" s="16"/>
      <c r="L13" s="7">
        <v>14</v>
      </c>
      <c r="M13" s="8">
        <f t="shared" si="0"/>
        <v>6432.203389830509</v>
      </c>
      <c r="N13" s="9">
        <f t="shared" si="1"/>
        <v>5531.6949152542375</v>
      </c>
      <c r="O13" s="10">
        <f t="shared" si="2"/>
        <v>6527.4</v>
      </c>
      <c r="P13" s="11">
        <v>7590</v>
      </c>
      <c r="Q13" s="12">
        <f>P13*1.8+28</f>
        <v>13690</v>
      </c>
    </row>
    <row r="14" spans="1:18" ht="15.75" customHeight="1">
      <c r="A14" s="67"/>
      <c r="B14" s="47"/>
      <c r="C14" s="47"/>
      <c r="D14" s="47"/>
      <c r="E14" s="47"/>
      <c r="F14" s="47"/>
      <c r="G14" s="48"/>
      <c r="H14" s="3" t="s">
        <v>16</v>
      </c>
      <c r="I14" s="15">
        <v>18.2</v>
      </c>
      <c r="J14" s="5" t="s">
        <v>17</v>
      </c>
      <c r="K14" s="16"/>
      <c r="L14" s="7">
        <v>14</v>
      </c>
      <c r="M14" s="8">
        <f t="shared" si="0"/>
        <v>12703.389830508475</v>
      </c>
      <c r="N14" s="9">
        <f t="shared" si="1"/>
        <v>10924.915254237289</v>
      </c>
      <c r="O14" s="10">
        <f t="shared" si="2"/>
        <v>12891.4</v>
      </c>
      <c r="P14" s="11">
        <v>14990</v>
      </c>
      <c r="Q14" s="12">
        <f>P14*1.8+8</f>
        <v>26990</v>
      </c>
    </row>
    <row r="15" spans="1:18" ht="15.75" customHeight="1">
      <c r="A15" s="67"/>
      <c r="B15" s="47">
        <v>4</v>
      </c>
      <c r="C15" s="47" t="s">
        <v>13</v>
      </c>
      <c r="D15" s="47" t="s">
        <v>14</v>
      </c>
      <c r="E15" s="47" t="s">
        <v>15</v>
      </c>
      <c r="F15" s="47" t="s">
        <v>21</v>
      </c>
      <c r="G15" s="48">
        <v>32099090</v>
      </c>
      <c r="H15" s="3" t="s">
        <v>16</v>
      </c>
      <c r="I15" s="4">
        <v>1</v>
      </c>
      <c r="J15" s="5" t="s">
        <v>17</v>
      </c>
      <c r="K15" s="16"/>
      <c r="L15" s="7">
        <v>14</v>
      </c>
      <c r="M15" s="8">
        <f t="shared" si="0"/>
        <v>415.25423728813564</v>
      </c>
      <c r="N15" s="9">
        <f t="shared" si="1"/>
        <v>357.11864406779665</v>
      </c>
      <c r="O15" s="10">
        <f t="shared" si="2"/>
        <v>421.40000000000003</v>
      </c>
      <c r="P15" s="11">
        <v>490</v>
      </c>
      <c r="Q15" s="12">
        <f>P15*1.8+8</f>
        <v>890</v>
      </c>
    </row>
    <row r="16" spans="1:18" ht="15.75" customHeight="1">
      <c r="A16" s="67"/>
      <c r="B16" s="47"/>
      <c r="C16" s="47"/>
      <c r="D16" s="47"/>
      <c r="E16" s="47"/>
      <c r="F16" s="47"/>
      <c r="G16" s="48"/>
      <c r="H16" s="3" t="s">
        <v>16</v>
      </c>
      <c r="I16" s="4">
        <v>3.6</v>
      </c>
      <c r="J16" s="5" t="s">
        <v>17</v>
      </c>
      <c r="K16" s="16"/>
      <c r="L16" s="7">
        <v>14</v>
      </c>
      <c r="M16" s="8">
        <f t="shared" si="0"/>
        <v>1432.2033898305085</v>
      </c>
      <c r="N16" s="9">
        <f t="shared" si="1"/>
        <v>1231.6949152542372</v>
      </c>
      <c r="O16" s="10">
        <f t="shared" si="2"/>
        <v>1453.3999999999999</v>
      </c>
      <c r="P16" s="11">
        <v>1690</v>
      </c>
      <c r="Q16" s="12">
        <f>P16*1.8-52</f>
        <v>2990</v>
      </c>
    </row>
    <row r="17" spans="1:18" ht="15.75" customHeight="1">
      <c r="A17" s="67"/>
      <c r="B17" s="47"/>
      <c r="C17" s="47"/>
      <c r="D17" s="47"/>
      <c r="E17" s="47"/>
      <c r="F17" s="47"/>
      <c r="G17" s="48"/>
      <c r="H17" s="3" t="s">
        <v>16</v>
      </c>
      <c r="I17" s="4">
        <v>9.1</v>
      </c>
      <c r="J17" s="5" t="s">
        <v>17</v>
      </c>
      <c r="K17" s="16"/>
      <c r="L17" s="7">
        <v>14</v>
      </c>
      <c r="M17" s="8">
        <f t="shared" si="0"/>
        <v>3466.1016949152545</v>
      </c>
      <c r="N17" s="9">
        <f t="shared" si="1"/>
        <v>2980.8474576271187</v>
      </c>
      <c r="O17" s="10">
        <f t="shared" si="2"/>
        <v>3517.4</v>
      </c>
      <c r="P17" s="11">
        <v>4090</v>
      </c>
      <c r="Q17" s="12">
        <f>P17*1.8+28</f>
        <v>7390</v>
      </c>
    </row>
    <row r="18" spans="1:18" ht="15.75" customHeight="1">
      <c r="A18" s="67"/>
      <c r="B18" s="47"/>
      <c r="C18" s="47"/>
      <c r="D18" s="47"/>
      <c r="E18" s="47"/>
      <c r="F18" s="47"/>
      <c r="G18" s="48"/>
      <c r="H18" s="3" t="s">
        <v>16</v>
      </c>
      <c r="I18" s="15">
        <v>18.2</v>
      </c>
      <c r="J18" s="5" t="s">
        <v>17</v>
      </c>
      <c r="K18" s="16"/>
      <c r="L18" s="7">
        <v>14</v>
      </c>
      <c r="M18" s="8">
        <f t="shared" si="0"/>
        <v>6771.1864406779669</v>
      </c>
      <c r="N18" s="9">
        <f t="shared" si="1"/>
        <v>5823.2203389830511</v>
      </c>
      <c r="O18" s="10">
        <f t="shared" si="2"/>
        <v>6871.4</v>
      </c>
      <c r="P18" s="11">
        <v>7990</v>
      </c>
      <c r="Q18" s="12">
        <f>P18*1.8+8</f>
        <v>14390</v>
      </c>
      <c r="R18" t="s">
        <v>18</v>
      </c>
    </row>
    <row r="19" spans="1:18" ht="15.75" customHeight="1">
      <c r="A19" s="67"/>
      <c r="B19" s="47">
        <v>5</v>
      </c>
      <c r="C19" s="47" t="s">
        <v>13</v>
      </c>
      <c r="D19" s="47" t="s">
        <v>14</v>
      </c>
      <c r="E19" s="47" t="s">
        <v>15</v>
      </c>
      <c r="F19" s="47" t="s">
        <v>22</v>
      </c>
      <c r="G19" s="48">
        <v>32099090</v>
      </c>
      <c r="H19" s="17" t="s">
        <v>16</v>
      </c>
      <c r="I19" s="2">
        <v>1</v>
      </c>
      <c r="J19" s="18" t="s">
        <v>17</v>
      </c>
      <c r="K19" s="16"/>
      <c r="L19" s="7">
        <v>14</v>
      </c>
      <c r="M19" s="8">
        <f t="shared" si="0"/>
        <v>415.25423728813564</v>
      </c>
      <c r="N19" s="9">
        <f t="shared" si="1"/>
        <v>357.11864406779665</v>
      </c>
      <c r="O19" s="10">
        <f t="shared" si="2"/>
        <v>421.40000000000003</v>
      </c>
      <c r="P19" s="11">
        <v>490</v>
      </c>
      <c r="Q19" s="12">
        <f>P19*1.8+8</f>
        <v>890</v>
      </c>
    </row>
    <row r="20" spans="1:18" ht="15.75" customHeight="1">
      <c r="A20" s="67"/>
      <c r="B20" s="47"/>
      <c r="C20" s="47"/>
      <c r="D20" s="47"/>
      <c r="E20" s="47"/>
      <c r="F20" s="47"/>
      <c r="G20" s="48"/>
      <c r="H20" s="17" t="s">
        <v>16</v>
      </c>
      <c r="I20" s="2">
        <v>3.6</v>
      </c>
      <c r="J20" s="18" t="s">
        <v>17</v>
      </c>
      <c r="K20" s="16"/>
      <c r="L20" s="7">
        <v>14</v>
      </c>
      <c r="M20" s="8">
        <f t="shared" si="0"/>
        <v>1432.2033898305085</v>
      </c>
      <c r="N20" s="9">
        <f t="shared" si="1"/>
        <v>1231.6949152542372</v>
      </c>
      <c r="O20" s="10">
        <f t="shared" si="2"/>
        <v>1453.3999999999999</v>
      </c>
      <c r="P20" s="11">
        <v>1690</v>
      </c>
      <c r="Q20" s="12">
        <f>P20*1.8-52</f>
        <v>2990</v>
      </c>
    </row>
    <row r="21" spans="1:18" ht="15.75" customHeight="1">
      <c r="A21" s="67"/>
      <c r="B21" s="47"/>
      <c r="C21" s="47"/>
      <c r="D21" s="47"/>
      <c r="E21" s="47"/>
      <c r="F21" s="47"/>
      <c r="G21" s="48"/>
      <c r="H21" s="17" t="s">
        <v>16</v>
      </c>
      <c r="I21" s="2">
        <v>9.1</v>
      </c>
      <c r="J21" s="18" t="s">
        <v>17</v>
      </c>
      <c r="K21" s="16"/>
      <c r="L21" s="7">
        <v>14</v>
      </c>
      <c r="M21" s="8">
        <f t="shared" si="0"/>
        <v>3466.1016949152545</v>
      </c>
      <c r="N21" s="9">
        <f t="shared" si="1"/>
        <v>2980.8474576271187</v>
      </c>
      <c r="O21" s="10">
        <f t="shared" si="2"/>
        <v>3517.4</v>
      </c>
      <c r="P21" s="11">
        <v>4090</v>
      </c>
      <c r="Q21" s="12">
        <f>P21*1.8+28</f>
        <v>7390</v>
      </c>
    </row>
    <row r="22" spans="1:18" ht="15.75" customHeight="1">
      <c r="A22" s="67"/>
      <c r="B22" s="47"/>
      <c r="C22" s="47"/>
      <c r="D22" s="47"/>
      <c r="E22" s="47"/>
      <c r="F22" s="47"/>
      <c r="G22" s="48"/>
      <c r="H22" s="17" t="s">
        <v>16</v>
      </c>
      <c r="I22" s="19">
        <v>18.2</v>
      </c>
      <c r="J22" s="18" t="s">
        <v>17</v>
      </c>
      <c r="K22" s="16"/>
      <c r="L22" s="7">
        <v>14</v>
      </c>
      <c r="M22" s="8">
        <f t="shared" si="0"/>
        <v>5500</v>
      </c>
      <c r="N22" s="9">
        <f t="shared" si="1"/>
        <v>4730</v>
      </c>
      <c r="O22" s="10">
        <f t="shared" si="2"/>
        <v>5581.4</v>
      </c>
      <c r="P22" s="11">
        <v>6490</v>
      </c>
      <c r="Q22" s="12">
        <f>P22*1.8+8</f>
        <v>11690</v>
      </c>
      <c r="R22" t="s">
        <v>18</v>
      </c>
    </row>
    <row r="23" spans="1:18" ht="15.75" customHeight="1">
      <c r="A23" s="67"/>
      <c r="B23" s="47">
        <v>6</v>
      </c>
      <c r="C23" s="47" t="s">
        <v>13</v>
      </c>
      <c r="D23" s="47" t="s">
        <v>14</v>
      </c>
      <c r="E23" s="47" t="s">
        <v>15</v>
      </c>
      <c r="F23" s="47" t="s">
        <v>23</v>
      </c>
      <c r="G23" s="48">
        <v>39069090</v>
      </c>
      <c r="H23" s="20" t="s">
        <v>24</v>
      </c>
      <c r="I23" s="20">
        <v>9.1</v>
      </c>
      <c r="J23" s="5" t="s">
        <v>17</v>
      </c>
      <c r="K23" s="16"/>
      <c r="L23" s="7">
        <v>14</v>
      </c>
      <c r="M23" s="8">
        <f t="shared" si="0"/>
        <v>4483.0508474576272</v>
      </c>
      <c r="N23" s="9">
        <f t="shared" si="1"/>
        <v>3855.4237288135591</v>
      </c>
      <c r="O23" s="10">
        <f t="shared" si="2"/>
        <v>4549.3999999999996</v>
      </c>
      <c r="P23" s="11">
        <v>5290</v>
      </c>
      <c r="Q23" s="12">
        <f>P23*1.8-32</f>
        <v>9490</v>
      </c>
    </row>
    <row r="24" spans="1:18" ht="15.75" customHeight="1">
      <c r="A24" s="67"/>
      <c r="B24" s="47"/>
      <c r="C24" s="47"/>
      <c r="D24" s="47"/>
      <c r="E24" s="47"/>
      <c r="F24" s="47"/>
      <c r="G24" s="48"/>
      <c r="H24" s="20" t="s">
        <v>24</v>
      </c>
      <c r="I24" s="20">
        <v>18.2</v>
      </c>
      <c r="J24" s="5" t="s">
        <v>17</v>
      </c>
      <c r="K24" s="16"/>
      <c r="L24" s="7">
        <v>14</v>
      </c>
      <c r="M24" s="8">
        <f t="shared" si="0"/>
        <v>8466.1016949152545</v>
      </c>
      <c r="N24" s="9">
        <f t="shared" si="1"/>
        <v>7280.8474576271183</v>
      </c>
      <c r="O24" s="10">
        <f t="shared" si="2"/>
        <v>8591.4</v>
      </c>
      <c r="P24" s="11">
        <v>9990</v>
      </c>
      <c r="Q24" s="12">
        <f>P24*1.8+8</f>
        <v>17990</v>
      </c>
      <c r="R24" t="s">
        <v>18</v>
      </c>
    </row>
    <row r="25" spans="1:18" ht="15.75" customHeight="1">
      <c r="A25" s="67"/>
      <c r="B25" s="1">
        <v>7</v>
      </c>
      <c r="C25" s="1" t="s">
        <v>25</v>
      </c>
      <c r="D25" s="1" t="s">
        <v>14</v>
      </c>
      <c r="E25" s="1" t="s">
        <v>15</v>
      </c>
      <c r="F25" s="1" t="s">
        <v>26</v>
      </c>
      <c r="G25" s="2"/>
      <c r="H25" s="21" t="s">
        <v>27</v>
      </c>
      <c r="I25" s="21">
        <v>20</v>
      </c>
      <c r="J25" s="5" t="s">
        <v>28</v>
      </c>
      <c r="K25" s="22"/>
      <c r="L25" s="23">
        <v>11</v>
      </c>
      <c r="M25" s="8">
        <f t="shared" si="0"/>
        <v>4228.8135593220341</v>
      </c>
      <c r="N25" s="9">
        <f t="shared" si="1"/>
        <v>3763.6440677966102</v>
      </c>
      <c r="O25" s="10">
        <f t="shared" si="2"/>
        <v>4441.0999999999995</v>
      </c>
      <c r="P25" s="11">
        <v>4990</v>
      </c>
      <c r="Q25" s="12">
        <f>P25*1.8+8</f>
        <v>8990</v>
      </c>
    </row>
    <row r="26" spans="1:18" ht="15.75" customHeight="1">
      <c r="A26" s="67"/>
      <c r="B26" s="1">
        <v>8</v>
      </c>
      <c r="C26" s="1" t="s">
        <v>25</v>
      </c>
      <c r="D26" s="1" t="s">
        <v>29</v>
      </c>
      <c r="E26" s="1" t="s">
        <v>30</v>
      </c>
      <c r="F26" s="1"/>
      <c r="G26" s="2"/>
      <c r="H26" s="20" t="s">
        <v>16</v>
      </c>
      <c r="I26" s="20">
        <v>20</v>
      </c>
      <c r="J26" s="24" t="s">
        <v>28</v>
      </c>
      <c r="K26" s="16"/>
      <c r="L26" s="7">
        <v>11</v>
      </c>
      <c r="M26" s="8">
        <f t="shared" si="0"/>
        <v>1516.949152542373</v>
      </c>
      <c r="N26" s="9">
        <f t="shared" si="1"/>
        <v>1350.0847457627119</v>
      </c>
      <c r="O26" s="10">
        <f t="shared" si="2"/>
        <v>1593.1</v>
      </c>
      <c r="P26" s="11">
        <v>1790</v>
      </c>
      <c r="Q26" s="12">
        <f>P26*1.8-32</f>
        <v>3190</v>
      </c>
      <c r="R26" t="s">
        <v>18</v>
      </c>
    </row>
    <row r="27" spans="1:18" ht="15.75" customHeight="1">
      <c r="A27" s="67"/>
      <c r="B27" s="47">
        <v>9</v>
      </c>
      <c r="C27" s="47" t="s">
        <v>13</v>
      </c>
      <c r="D27" s="47" t="s">
        <v>31</v>
      </c>
      <c r="E27" s="47" t="s">
        <v>15</v>
      </c>
      <c r="F27" s="47"/>
      <c r="G27" s="48">
        <v>32149090</v>
      </c>
      <c r="H27" s="20" t="s">
        <v>16</v>
      </c>
      <c r="I27" s="20">
        <v>100</v>
      </c>
      <c r="J27" s="24" t="s">
        <v>32</v>
      </c>
      <c r="K27" s="16"/>
      <c r="L27" s="7">
        <v>14</v>
      </c>
      <c r="M27" s="8">
        <f t="shared" si="0"/>
        <v>2788.1355932203392</v>
      </c>
      <c r="N27" s="9">
        <f t="shared" si="1"/>
        <v>2397.7966101694915</v>
      </c>
      <c r="O27" s="10">
        <f t="shared" si="2"/>
        <v>2829.3999999999996</v>
      </c>
      <c r="P27" s="11">
        <v>3290</v>
      </c>
      <c r="Q27" s="12">
        <f>P27*1.8-32</f>
        <v>5890</v>
      </c>
    </row>
    <row r="28" spans="1:18" ht="15.75" customHeight="1">
      <c r="A28" s="67"/>
      <c r="B28" s="47"/>
      <c r="C28" s="47"/>
      <c r="D28" s="47"/>
      <c r="E28" s="47"/>
      <c r="F28" s="47"/>
      <c r="G28" s="48"/>
      <c r="H28" s="20" t="s">
        <v>16</v>
      </c>
      <c r="I28" s="20">
        <v>225</v>
      </c>
      <c r="J28" s="24" t="s">
        <v>32</v>
      </c>
      <c r="K28" s="16"/>
      <c r="L28" s="7">
        <v>14</v>
      </c>
      <c r="M28" s="8">
        <f t="shared" si="0"/>
        <v>5500</v>
      </c>
      <c r="N28" s="9">
        <f t="shared" si="1"/>
        <v>4730</v>
      </c>
      <c r="O28" s="10">
        <f t="shared" si="2"/>
        <v>5581.4</v>
      </c>
      <c r="P28" s="11">
        <v>6490</v>
      </c>
      <c r="Q28" s="12">
        <f>P28*1.8+8</f>
        <v>11690</v>
      </c>
    </row>
    <row r="29" spans="1:18" ht="15.75" customHeight="1">
      <c r="A29" s="67"/>
      <c r="B29" s="47"/>
      <c r="C29" s="47"/>
      <c r="D29" s="47"/>
      <c r="E29" s="47"/>
      <c r="F29" s="47"/>
      <c r="G29" s="48"/>
      <c r="H29" s="20" t="s">
        <v>16</v>
      </c>
      <c r="I29" s="20">
        <v>930</v>
      </c>
      <c r="J29" s="24" t="s">
        <v>32</v>
      </c>
      <c r="K29" s="16"/>
      <c r="L29" s="7">
        <v>14</v>
      </c>
      <c r="M29" s="8">
        <f t="shared" si="0"/>
        <v>20330.508474576272</v>
      </c>
      <c r="N29" s="9">
        <f t="shared" si="1"/>
        <v>17484.237288135595</v>
      </c>
      <c r="O29" s="10">
        <f t="shared" si="2"/>
        <v>20631.400000000001</v>
      </c>
      <c r="P29" s="11">
        <v>23990</v>
      </c>
      <c r="Q29" s="12">
        <f>P29*1.8+8</f>
        <v>43190</v>
      </c>
      <c r="R29" t="s">
        <v>18</v>
      </c>
    </row>
    <row r="30" spans="1:18" ht="15.75" customHeight="1">
      <c r="A30" s="67"/>
      <c r="B30" s="47">
        <v>10</v>
      </c>
      <c r="C30" s="47" t="s">
        <v>13</v>
      </c>
      <c r="D30" s="47" t="s">
        <v>31</v>
      </c>
      <c r="E30" s="47" t="s">
        <v>15</v>
      </c>
      <c r="F30" s="47" t="s">
        <v>23</v>
      </c>
      <c r="G30" s="48">
        <v>32149090</v>
      </c>
      <c r="H30" s="20" t="s">
        <v>16</v>
      </c>
      <c r="I30" s="20">
        <v>100</v>
      </c>
      <c r="J30" s="24" t="s">
        <v>32</v>
      </c>
      <c r="K30" s="16"/>
      <c r="L30" s="7">
        <v>14</v>
      </c>
      <c r="M30" s="8">
        <f t="shared" si="0"/>
        <v>3127.1186440677966</v>
      </c>
      <c r="N30" s="9">
        <f t="shared" si="1"/>
        <v>2689.3220338983051</v>
      </c>
      <c r="O30" s="10">
        <f t="shared" si="2"/>
        <v>3173.3999999999996</v>
      </c>
      <c r="P30" s="11">
        <v>3690</v>
      </c>
      <c r="Q30" s="12">
        <f>P30*1.8+48</f>
        <v>6690</v>
      </c>
    </row>
    <row r="31" spans="1:18" ht="15.75" customHeight="1">
      <c r="A31" s="67"/>
      <c r="B31" s="47"/>
      <c r="C31" s="47"/>
      <c r="D31" s="47"/>
      <c r="E31" s="47"/>
      <c r="F31" s="47"/>
      <c r="G31" s="48"/>
      <c r="H31" s="20" t="s">
        <v>16</v>
      </c>
      <c r="I31" s="20">
        <v>225</v>
      </c>
      <c r="J31" s="24" t="s">
        <v>32</v>
      </c>
      <c r="K31" s="16"/>
      <c r="L31" s="7">
        <v>14</v>
      </c>
      <c r="M31" s="8">
        <f t="shared" si="0"/>
        <v>6347.4576271186443</v>
      </c>
      <c r="N31" s="9">
        <f t="shared" si="1"/>
        <v>5458.8135593220341</v>
      </c>
      <c r="O31" s="10">
        <f t="shared" si="2"/>
        <v>6441.4</v>
      </c>
      <c r="P31" s="11">
        <v>7490</v>
      </c>
      <c r="Q31" s="12">
        <f>P31*1.8+8</f>
        <v>13490</v>
      </c>
    </row>
    <row r="32" spans="1:18" ht="15.75" customHeight="1">
      <c r="A32" s="67"/>
      <c r="B32" s="47"/>
      <c r="C32" s="47"/>
      <c r="D32" s="47"/>
      <c r="E32" s="47"/>
      <c r="F32" s="47"/>
      <c r="G32" s="48"/>
      <c r="H32" s="20" t="s">
        <v>16</v>
      </c>
      <c r="I32" s="20">
        <v>930</v>
      </c>
      <c r="J32" s="24" t="s">
        <v>32</v>
      </c>
      <c r="K32" s="16"/>
      <c r="L32" s="7">
        <v>14</v>
      </c>
      <c r="M32" s="8">
        <f t="shared" si="0"/>
        <v>23720.338983050849</v>
      </c>
      <c r="N32" s="9">
        <f t="shared" si="1"/>
        <v>20399.491525423731</v>
      </c>
      <c r="O32" s="10">
        <f t="shared" si="2"/>
        <v>24071.4</v>
      </c>
      <c r="P32" s="11">
        <v>27990</v>
      </c>
      <c r="Q32" s="12">
        <f>P32*1.8+8</f>
        <v>50390</v>
      </c>
      <c r="R32" t="s">
        <v>18</v>
      </c>
    </row>
    <row r="33" spans="1:18" ht="15.75" customHeight="1">
      <c r="A33" s="67"/>
      <c r="B33" s="47">
        <v>11</v>
      </c>
      <c r="C33" s="47" t="s">
        <v>13</v>
      </c>
      <c r="D33" s="47" t="s">
        <v>31</v>
      </c>
      <c r="E33" s="47" t="s">
        <v>15</v>
      </c>
      <c r="F33" s="47" t="s">
        <v>33</v>
      </c>
      <c r="G33" s="48">
        <v>32149090</v>
      </c>
      <c r="H33" s="20" t="s">
        <v>16</v>
      </c>
      <c r="I33" s="20">
        <v>100</v>
      </c>
      <c r="J33" s="24" t="s">
        <v>32</v>
      </c>
      <c r="K33" s="16"/>
      <c r="L33" s="7">
        <v>14</v>
      </c>
      <c r="M33" s="8">
        <f t="shared" si="0"/>
        <v>3381.3559322033898</v>
      </c>
      <c r="N33" s="9">
        <f t="shared" si="1"/>
        <v>2907.9661016949153</v>
      </c>
      <c r="O33" s="10">
        <f t="shared" si="2"/>
        <v>3431.4</v>
      </c>
      <c r="P33" s="11">
        <v>3990</v>
      </c>
      <c r="Q33" s="12">
        <f>P33*1.8+8</f>
        <v>7190</v>
      </c>
    </row>
    <row r="34" spans="1:18" ht="15.75" customHeight="1">
      <c r="A34" s="67"/>
      <c r="B34" s="47"/>
      <c r="C34" s="47"/>
      <c r="D34" s="47"/>
      <c r="E34" s="47"/>
      <c r="F34" s="47"/>
      <c r="G34" s="48"/>
      <c r="H34" s="20" t="s">
        <v>16</v>
      </c>
      <c r="I34" s="20">
        <v>225</v>
      </c>
      <c r="J34" s="24" t="s">
        <v>32</v>
      </c>
      <c r="K34" s="16"/>
      <c r="L34" s="7">
        <v>14</v>
      </c>
      <c r="M34" s="8">
        <f t="shared" si="0"/>
        <v>6686.4406779661022</v>
      </c>
      <c r="N34" s="9">
        <f t="shared" si="1"/>
        <v>5750.3389830508477</v>
      </c>
      <c r="O34" s="10">
        <f t="shared" si="2"/>
        <v>6785.4</v>
      </c>
      <c r="P34" s="11">
        <v>7890</v>
      </c>
      <c r="Q34" s="12">
        <f>P34*1.8-12</f>
        <v>14190</v>
      </c>
    </row>
    <row r="35" spans="1:18" ht="15.75" customHeight="1">
      <c r="A35" s="67"/>
      <c r="B35" s="47"/>
      <c r="C35" s="47"/>
      <c r="D35" s="47"/>
      <c r="E35" s="47"/>
      <c r="F35" s="47"/>
      <c r="G35" s="48"/>
      <c r="H35" s="20" t="s">
        <v>16</v>
      </c>
      <c r="I35" s="20">
        <v>930</v>
      </c>
      <c r="J35" s="24" t="s">
        <v>32</v>
      </c>
      <c r="K35" s="16"/>
      <c r="L35" s="7">
        <v>14</v>
      </c>
      <c r="M35" s="8">
        <f t="shared" si="0"/>
        <v>25415.254237288136</v>
      </c>
      <c r="N35" s="9">
        <f t="shared" si="1"/>
        <v>21857.118644067796</v>
      </c>
      <c r="O35" s="10">
        <f t="shared" si="2"/>
        <v>25791.399999999998</v>
      </c>
      <c r="P35" s="11">
        <v>29990</v>
      </c>
      <c r="Q35" s="12">
        <f>P35*1.8+8</f>
        <v>53990</v>
      </c>
      <c r="R35" t="s">
        <v>18</v>
      </c>
    </row>
    <row r="36" spans="1:18" ht="15.75" customHeight="1">
      <c r="A36" s="67"/>
      <c r="B36" s="47">
        <v>12</v>
      </c>
      <c r="C36" s="47" t="s">
        <v>13</v>
      </c>
      <c r="D36" s="47" t="s">
        <v>34</v>
      </c>
      <c r="E36" s="47" t="s">
        <v>15</v>
      </c>
      <c r="F36" s="47" t="s">
        <v>35</v>
      </c>
      <c r="G36" s="48">
        <v>32081090</v>
      </c>
      <c r="H36" s="20" t="s">
        <v>16</v>
      </c>
      <c r="I36" s="20">
        <v>1</v>
      </c>
      <c r="J36" s="5" t="s">
        <v>17</v>
      </c>
      <c r="K36" s="16"/>
      <c r="L36" s="7">
        <v>14</v>
      </c>
      <c r="M36" s="8">
        <f t="shared" si="0"/>
        <v>584.74576271186447</v>
      </c>
      <c r="N36" s="9">
        <f t="shared" si="1"/>
        <v>502.88135593220341</v>
      </c>
      <c r="O36" s="10">
        <f t="shared" si="2"/>
        <v>593.4</v>
      </c>
      <c r="P36" s="11">
        <v>690</v>
      </c>
      <c r="Q36" s="12">
        <f>P36*1.8-52</f>
        <v>1190</v>
      </c>
    </row>
    <row r="37" spans="1:18" ht="15.75" customHeight="1">
      <c r="A37" s="67"/>
      <c r="B37" s="47"/>
      <c r="C37" s="47"/>
      <c r="D37" s="47"/>
      <c r="E37" s="47"/>
      <c r="F37" s="47"/>
      <c r="G37" s="48"/>
      <c r="H37" s="20" t="s">
        <v>16</v>
      </c>
      <c r="I37" s="20">
        <v>5</v>
      </c>
      <c r="J37" s="5" t="s">
        <v>17</v>
      </c>
      <c r="K37" s="16"/>
      <c r="L37" s="7">
        <v>14</v>
      </c>
      <c r="M37" s="8">
        <f t="shared" si="0"/>
        <v>2957.6271186440681</v>
      </c>
      <c r="N37" s="9">
        <f t="shared" si="1"/>
        <v>2543.5593220338988</v>
      </c>
      <c r="O37" s="10">
        <f t="shared" si="2"/>
        <v>3001.4000000000005</v>
      </c>
      <c r="P37" s="11">
        <v>3490</v>
      </c>
      <c r="Q37" s="12">
        <f>P37*1.8+8</f>
        <v>6290</v>
      </c>
    </row>
    <row r="38" spans="1:18" ht="15.75" customHeight="1">
      <c r="A38" s="67"/>
      <c r="B38" s="47"/>
      <c r="C38" s="47"/>
      <c r="D38" s="47"/>
      <c r="E38" s="47"/>
      <c r="F38" s="47"/>
      <c r="G38" s="48"/>
      <c r="H38" s="20" t="s">
        <v>16</v>
      </c>
      <c r="I38" s="20">
        <v>10</v>
      </c>
      <c r="J38" s="5" t="s">
        <v>17</v>
      </c>
      <c r="K38" s="16"/>
      <c r="L38" s="7">
        <v>14</v>
      </c>
      <c r="M38" s="8">
        <f t="shared" si="0"/>
        <v>5669.4915254237294</v>
      </c>
      <c r="N38" s="9">
        <f t="shared" si="1"/>
        <v>4875.7627118644068</v>
      </c>
      <c r="O38" s="10">
        <f t="shared" si="2"/>
        <v>5753.4</v>
      </c>
      <c r="P38" s="11">
        <v>6690</v>
      </c>
      <c r="Q38" s="12">
        <f>P38*1.8-52</f>
        <v>11990</v>
      </c>
    </row>
    <row r="39" spans="1:18" ht="15.75" customHeight="1">
      <c r="A39" s="67"/>
      <c r="B39" s="47"/>
      <c r="C39" s="47"/>
      <c r="D39" s="47"/>
      <c r="E39" s="47"/>
      <c r="F39" s="47"/>
      <c r="G39" s="48"/>
      <c r="H39" s="20" t="s">
        <v>16</v>
      </c>
      <c r="I39" s="20">
        <v>20</v>
      </c>
      <c r="J39" s="5" t="s">
        <v>17</v>
      </c>
      <c r="K39" s="16"/>
      <c r="L39" s="7">
        <v>14</v>
      </c>
      <c r="M39" s="8">
        <f t="shared" si="0"/>
        <v>11008.474576271186</v>
      </c>
      <c r="N39" s="9">
        <f t="shared" si="1"/>
        <v>9467.2881355932204</v>
      </c>
      <c r="O39" s="10">
        <f t="shared" si="2"/>
        <v>11171.4</v>
      </c>
      <c r="P39" s="11">
        <v>12990</v>
      </c>
      <c r="Q39" s="12">
        <f>P39*1.8+8</f>
        <v>23390</v>
      </c>
      <c r="R39" t="s">
        <v>18</v>
      </c>
    </row>
    <row r="40" spans="1:18" ht="15.75" customHeight="1">
      <c r="A40" s="67"/>
      <c r="B40" s="1">
        <v>13</v>
      </c>
      <c r="C40" s="1" t="s">
        <v>13</v>
      </c>
      <c r="D40" s="1" t="s">
        <v>36</v>
      </c>
      <c r="E40" s="1" t="s">
        <v>37</v>
      </c>
      <c r="F40" s="1"/>
      <c r="G40" s="2"/>
      <c r="H40" s="20"/>
      <c r="I40" s="20"/>
      <c r="J40" s="24"/>
      <c r="K40" s="16"/>
      <c r="L40" s="23">
        <v>11</v>
      </c>
      <c r="M40" s="8">
        <f t="shared" si="0"/>
        <v>0</v>
      </c>
      <c r="N40" s="9">
        <f t="shared" si="1"/>
        <v>0</v>
      </c>
      <c r="O40" s="10">
        <f t="shared" si="2"/>
        <v>0</v>
      </c>
      <c r="P40" s="11">
        <v>0</v>
      </c>
      <c r="Q40" s="12">
        <f>P40*1.8</f>
        <v>0</v>
      </c>
      <c r="R40" t="s">
        <v>38</v>
      </c>
    </row>
    <row r="41" spans="1:18" ht="15.75" customHeight="1">
      <c r="A41" s="67"/>
      <c r="B41" s="47">
        <v>14</v>
      </c>
      <c r="C41" s="47" t="s">
        <v>13</v>
      </c>
      <c r="D41" s="47" t="s">
        <v>39</v>
      </c>
      <c r="E41" s="47" t="s">
        <v>15</v>
      </c>
      <c r="F41" s="47"/>
      <c r="G41" s="48">
        <v>32091090</v>
      </c>
      <c r="H41" s="25" t="s">
        <v>16</v>
      </c>
      <c r="I41" s="25">
        <v>1</v>
      </c>
      <c r="J41" s="18" t="s">
        <v>17</v>
      </c>
      <c r="K41" s="16"/>
      <c r="L41" s="7">
        <v>14</v>
      </c>
      <c r="M41" s="8">
        <f t="shared" si="0"/>
        <v>330.50847457627123</v>
      </c>
      <c r="N41" s="9">
        <f t="shared" si="1"/>
        <v>284.23728813559325</v>
      </c>
      <c r="O41" s="10">
        <f t="shared" si="2"/>
        <v>335.40000000000003</v>
      </c>
      <c r="P41" s="11">
        <v>390</v>
      </c>
      <c r="Q41" s="12">
        <f>P41*1.8-12</f>
        <v>690</v>
      </c>
    </row>
    <row r="42" spans="1:18" ht="15.75" customHeight="1">
      <c r="A42" s="67"/>
      <c r="B42" s="47"/>
      <c r="C42" s="47"/>
      <c r="D42" s="47"/>
      <c r="E42" s="47"/>
      <c r="F42" s="47"/>
      <c r="G42" s="48"/>
      <c r="H42" s="25" t="s">
        <v>16</v>
      </c>
      <c r="I42" s="25">
        <v>3.6</v>
      </c>
      <c r="J42" s="18" t="s">
        <v>17</v>
      </c>
      <c r="K42" s="16"/>
      <c r="L42" s="7">
        <v>14</v>
      </c>
      <c r="M42" s="8">
        <f t="shared" si="0"/>
        <v>923.72881355932213</v>
      </c>
      <c r="N42" s="9">
        <f t="shared" si="1"/>
        <v>794.40677966101703</v>
      </c>
      <c r="O42" s="10">
        <f t="shared" si="2"/>
        <v>937.40000000000009</v>
      </c>
      <c r="P42" s="11">
        <v>1090</v>
      </c>
      <c r="Q42" s="12">
        <f>P42*1.8+28</f>
        <v>1990</v>
      </c>
    </row>
    <row r="43" spans="1:18" ht="15.75" customHeight="1">
      <c r="A43" s="67"/>
      <c r="B43" s="47"/>
      <c r="C43" s="47"/>
      <c r="D43" s="47"/>
      <c r="E43" s="47"/>
      <c r="F43" s="47"/>
      <c r="G43" s="48"/>
      <c r="H43" s="25" t="s">
        <v>16</v>
      </c>
      <c r="I43" s="25">
        <v>9.1</v>
      </c>
      <c r="J43" s="18" t="s">
        <v>17</v>
      </c>
      <c r="K43" s="16"/>
      <c r="L43" s="7">
        <v>14</v>
      </c>
      <c r="M43" s="8">
        <f t="shared" si="0"/>
        <v>2194.9152542372881</v>
      </c>
      <c r="N43" s="9">
        <f t="shared" si="1"/>
        <v>1887.6271186440677</v>
      </c>
      <c r="O43" s="10">
        <f t="shared" si="2"/>
        <v>2227.3999999999996</v>
      </c>
      <c r="P43" s="11">
        <v>2590</v>
      </c>
      <c r="Q43" s="12">
        <f>P43*1.8+28</f>
        <v>4690</v>
      </c>
    </row>
    <row r="44" spans="1:18" ht="15.75" customHeight="1">
      <c r="A44" s="67"/>
      <c r="B44" s="47"/>
      <c r="C44" s="47"/>
      <c r="D44" s="47"/>
      <c r="E44" s="47"/>
      <c r="F44" s="47"/>
      <c r="G44" s="48"/>
      <c r="H44" s="25" t="s">
        <v>16</v>
      </c>
      <c r="I44" s="25">
        <v>18.2</v>
      </c>
      <c r="J44" s="18" t="s">
        <v>17</v>
      </c>
      <c r="K44" s="16"/>
      <c r="L44" s="7">
        <v>14</v>
      </c>
      <c r="M44" s="8">
        <f t="shared" si="0"/>
        <v>4228.8135593220341</v>
      </c>
      <c r="N44" s="9">
        <f t="shared" si="1"/>
        <v>3636.7796610169494</v>
      </c>
      <c r="O44" s="10">
        <f t="shared" si="2"/>
        <v>4291.3999999999996</v>
      </c>
      <c r="P44" s="11">
        <v>4990</v>
      </c>
      <c r="Q44" s="12">
        <f>P44*1.8+8</f>
        <v>8990</v>
      </c>
    </row>
    <row r="45" spans="1:18" ht="15.75" customHeight="1">
      <c r="A45" s="67"/>
      <c r="B45" s="47">
        <v>15</v>
      </c>
      <c r="C45" s="47" t="s">
        <v>13</v>
      </c>
      <c r="D45" s="47" t="s">
        <v>39</v>
      </c>
      <c r="E45" s="47" t="s">
        <v>15</v>
      </c>
      <c r="F45" s="47" t="s">
        <v>40</v>
      </c>
      <c r="G45" s="48">
        <v>32091090</v>
      </c>
      <c r="H45" s="25" t="s">
        <v>16</v>
      </c>
      <c r="I45" s="25">
        <v>1</v>
      </c>
      <c r="J45" s="18" t="s">
        <v>17</v>
      </c>
      <c r="K45" s="16"/>
      <c r="L45" s="7">
        <v>14</v>
      </c>
      <c r="M45" s="8">
        <f t="shared" si="0"/>
        <v>330.50847457627123</v>
      </c>
      <c r="N45" s="9">
        <f t="shared" si="1"/>
        <v>284.23728813559325</v>
      </c>
      <c r="O45" s="10">
        <f t="shared" si="2"/>
        <v>335.40000000000003</v>
      </c>
      <c r="P45" s="11">
        <v>390</v>
      </c>
      <c r="Q45" s="12">
        <f>P45*1.8-12</f>
        <v>690</v>
      </c>
    </row>
    <row r="46" spans="1:18" ht="15.75" customHeight="1">
      <c r="A46" s="67"/>
      <c r="B46" s="47"/>
      <c r="C46" s="47"/>
      <c r="D46" s="47"/>
      <c r="E46" s="47"/>
      <c r="F46" s="47"/>
      <c r="G46" s="48"/>
      <c r="H46" s="25" t="s">
        <v>16</v>
      </c>
      <c r="I46" s="25">
        <v>3.6</v>
      </c>
      <c r="J46" s="18" t="s">
        <v>17</v>
      </c>
      <c r="K46" s="16"/>
      <c r="L46" s="7">
        <v>14</v>
      </c>
      <c r="M46" s="8">
        <f t="shared" si="0"/>
        <v>923.72881355932213</v>
      </c>
      <c r="N46" s="9">
        <f t="shared" si="1"/>
        <v>794.40677966101703</v>
      </c>
      <c r="O46" s="10">
        <f t="shared" si="2"/>
        <v>937.40000000000009</v>
      </c>
      <c r="P46" s="11">
        <v>1090</v>
      </c>
      <c r="Q46" s="12">
        <f>P46*1.8+28</f>
        <v>1990</v>
      </c>
    </row>
    <row r="47" spans="1:18" ht="15.75" customHeight="1">
      <c r="A47" s="67"/>
      <c r="B47" s="47"/>
      <c r="C47" s="47"/>
      <c r="D47" s="47"/>
      <c r="E47" s="47"/>
      <c r="F47" s="47"/>
      <c r="G47" s="48"/>
      <c r="H47" s="25" t="s">
        <v>16</v>
      </c>
      <c r="I47" s="25">
        <v>9.1</v>
      </c>
      <c r="J47" s="18" t="s">
        <v>17</v>
      </c>
      <c r="K47" s="16"/>
      <c r="L47" s="7">
        <v>14</v>
      </c>
      <c r="M47" s="8">
        <f t="shared" si="0"/>
        <v>2194.9152542372881</v>
      </c>
      <c r="N47" s="9">
        <f t="shared" si="1"/>
        <v>1887.6271186440677</v>
      </c>
      <c r="O47" s="10">
        <f t="shared" si="2"/>
        <v>2227.3999999999996</v>
      </c>
      <c r="P47" s="11">
        <v>2590</v>
      </c>
      <c r="Q47" s="12">
        <f>P47*1.8+28</f>
        <v>4690</v>
      </c>
    </row>
    <row r="48" spans="1:18" ht="15.75" customHeight="1">
      <c r="A48" s="67"/>
      <c r="B48" s="47"/>
      <c r="C48" s="47"/>
      <c r="D48" s="47"/>
      <c r="E48" s="47"/>
      <c r="F48" s="47"/>
      <c r="G48" s="48"/>
      <c r="H48" s="25" t="s">
        <v>16</v>
      </c>
      <c r="I48" s="25">
        <v>18.2</v>
      </c>
      <c r="J48" s="18" t="s">
        <v>17</v>
      </c>
      <c r="K48" s="16"/>
      <c r="L48" s="7">
        <v>14</v>
      </c>
      <c r="M48" s="8">
        <f t="shared" si="0"/>
        <v>4228.8135593220341</v>
      </c>
      <c r="N48" s="9">
        <f t="shared" si="1"/>
        <v>3636.7796610169494</v>
      </c>
      <c r="O48" s="10">
        <f t="shared" si="2"/>
        <v>4291.3999999999996</v>
      </c>
      <c r="P48" s="11">
        <v>4990</v>
      </c>
      <c r="Q48" s="12">
        <f>P48*1.8+8</f>
        <v>8990</v>
      </c>
    </row>
    <row r="49" spans="1:17" ht="15.75" customHeight="1">
      <c r="A49" s="67"/>
      <c r="B49" s="59">
        <v>16</v>
      </c>
      <c r="C49" s="59" t="s">
        <v>13</v>
      </c>
      <c r="D49" s="59" t="s">
        <v>39</v>
      </c>
      <c r="E49" s="59" t="s">
        <v>15</v>
      </c>
      <c r="F49" s="59" t="s">
        <v>23</v>
      </c>
      <c r="G49" s="49">
        <v>32091090</v>
      </c>
      <c r="H49" s="25" t="s">
        <v>41</v>
      </c>
      <c r="I49" s="25">
        <v>18.2</v>
      </c>
      <c r="J49" s="18" t="s">
        <v>17</v>
      </c>
      <c r="K49" s="16"/>
      <c r="L49" s="7">
        <v>14</v>
      </c>
      <c r="M49" s="8">
        <f t="shared" si="0"/>
        <v>3889.8305084745766</v>
      </c>
      <c r="N49" s="9">
        <f t="shared" si="1"/>
        <v>3345.2542372881358</v>
      </c>
      <c r="O49" s="10">
        <f t="shared" si="2"/>
        <v>3947.4</v>
      </c>
      <c r="P49" s="11">
        <v>4590</v>
      </c>
      <c r="Q49" s="12">
        <f>P49*1.8+28</f>
        <v>8290</v>
      </c>
    </row>
    <row r="50" spans="1:17" ht="15.75" customHeight="1">
      <c r="A50" s="67"/>
      <c r="B50" s="61"/>
      <c r="C50" s="61"/>
      <c r="D50" s="61"/>
      <c r="E50" s="61"/>
      <c r="F50" s="61"/>
      <c r="G50" s="51"/>
      <c r="H50" s="25" t="s">
        <v>41</v>
      </c>
      <c r="I50" s="25">
        <v>18.2</v>
      </c>
      <c r="J50" s="18" t="s">
        <v>17</v>
      </c>
      <c r="K50" s="16"/>
      <c r="L50" s="7">
        <v>14</v>
      </c>
      <c r="M50" s="8">
        <f t="shared" si="0"/>
        <v>7618.6440677966102</v>
      </c>
      <c r="N50" s="9">
        <f t="shared" si="1"/>
        <v>6552.0338983050842</v>
      </c>
      <c r="O50" s="10">
        <f t="shared" si="2"/>
        <v>7731.3999999999987</v>
      </c>
      <c r="P50" s="11">
        <v>8990</v>
      </c>
      <c r="Q50" s="12">
        <f>P50*1.8+8</f>
        <v>16190</v>
      </c>
    </row>
    <row r="51" spans="1:17" ht="15.75" customHeight="1">
      <c r="A51" s="68"/>
      <c r="B51" s="26">
        <v>17</v>
      </c>
      <c r="C51" s="1" t="s">
        <v>13</v>
      </c>
      <c r="D51" s="1" t="s">
        <v>36</v>
      </c>
      <c r="E51" s="1" t="s">
        <v>37</v>
      </c>
      <c r="F51" s="26"/>
      <c r="G51" s="27"/>
      <c r="H51" s="25" t="s">
        <v>24</v>
      </c>
      <c r="I51" s="25">
        <v>50</v>
      </c>
      <c r="J51" s="18" t="s">
        <v>17</v>
      </c>
      <c r="K51" s="16"/>
      <c r="L51" s="7">
        <v>14</v>
      </c>
      <c r="M51" s="8">
        <f t="shared" si="0"/>
        <v>25415.254237288136</v>
      </c>
      <c r="N51" s="9">
        <f t="shared" si="1"/>
        <v>21857.118644067796</v>
      </c>
      <c r="O51" s="10">
        <f t="shared" si="2"/>
        <v>25791.399999999998</v>
      </c>
      <c r="P51" s="11">
        <v>29990</v>
      </c>
      <c r="Q51" s="12">
        <f>P51*1.8+8</f>
        <v>53990</v>
      </c>
    </row>
    <row r="52" spans="1:17" ht="15.75" customHeight="1">
      <c r="A52" s="69" t="s">
        <v>42</v>
      </c>
      <c r="B52" s="47">
        <v>18</v>
      </c>
      <c r="C52" s="47" t="s">
        <v>13</v>
      </c>
      <c r="D52" s="47" t="s">
        <v>42</v>
      </c>
      <c r="E52" s="47" t="s">
        <v>15</v>
      </c>
      <c r="F52" s="47" t="s">
        <v>22</v>
      </c>
      <c r="G52" s="48">
        <v>32099090</v>
      </c>
      <c r="H52" s="21" t="s">
        <v>16</v>
      </c>
      <c r="I52" s="21">
        <v>1</v>
      </c>
      <c r="J52" s="5" t="s">
        <v>17</v>
      </c>
      <c r="K52" s="22"/>
      <c r="L52" s="7">
        <v>14</v>
      </c>
      <c r="M52" s="8">
        <f t="shared" si="0"/>
        <v>669.49152542372883</v>
      </c>
      <c r="N52" s="9">
        <f t="shared" si="1"/>
        <v>575.76271186440681</v>
      </c>
      <c r="O52" s="10">
        <f t="shared" si="2"/>
        <v>679.4</v>
      </c>
      <c r="P52" s="11">
        <v>790</v>
      </c>
      <c r="Q52" s="12">
        <f>P52*1.8-32</f>
        <v>1390</v>
      </c>
    </row>
    <row r="53" spans="1:17" ht="15.75" customHeight="1">
      <c r="A53" s="69"/>
      <c r="B53" s="47"/>
      <c r="C53" s="47"/>
      <c r="D53" s="47"/>
      <c r="E53" s="47"/>
      <c r="F53" s="47"/>
      <c r="G53" s="48"/>
      <c r="H53" s="21" t="s">
        <v>16</v>
      </c>
      <c r="I53" s="21">
        <v>3.6</v>
      </c>
      <c r="J53" s="5" t="s">
        <v>17</v>
      </c>
      <c r="K53" s="22"/>
      <c r="L53" s="7">
        <v>14</v>
      </c>
      <c r="M53" s="8">
        <f t="shared" si="0"/>
        <v>2110.1694915254238</v>
      </c>
      <c r="N53" s="9">
        <f t="shared" si="1"/>
        <v>1814.7457627118645</v>
      </c>
      <c r="O53" s="10">
        <f t="shared" si="2"/>
        <v>2141.4</v>
      </c>
      <c r="P53" s="11">
        <v>2490</v>
      </c>
      <c r="Q53" s="12">
        <f>P53*1.8+8</f>
        <v>4490</v>
      </c>
    </row>
    <row r="54" spans="1:17" ht="15.75" customHeight="1">
      <c r="A54" s="69"/>
      <c r="B54" s="47"/>
      <c r="C54" s="47"/>
      <c r="D54" s="47"/>
      <c r="E54" s="47"/>
      <c r="F54" s="47"/>
      <c r="G54" s="48"/>
      <c r="H54" s="21" t="s">
        <v>16</v>
      </c>
      <c r="I54" s="21">
        <v>9.1</v>
      </c>
      <c r="J54" s="5" t="s">
        <v>17</v>
      </c>
      <c r="K54" s="22"/>
      <c r="L54" s="7">
        <v>14</v>
      </c>
      <c r="M54" s="8">
        <f t="shared" si="0"/>
        <v>5161.016949152543</v>
      </c>
      <c r="N54" s="9">
        <f t="shared" si="1"/>
        <v>4438.4745762711873</v>
      </c>
      <c r="O54" s="10">
        <f t="shared" si="2"/>
        <v>5237.4000000000005</v>
      </c>
      <c r="P54" s="11">
        <v>6090</v>
      </c>
      <c r="Q54" s="12">
        <f>P54*1.8+28</f>
        <v>10990</v>
      </c>
    </row>
    <row r="55" spans="1:17" ht="15.75" customHeight="1">
      <c r="A55" s="69"/>
      <c r="B55" s="47"/>
      <c r="C55" s="47"/>
      <c r="D55" s="47"/>
      <c r="E55" s="47"/>
      <c r="F55" s="47"/>
      <c r="G55" s="48"/>
      <c r="H55" s="21" t="s">
        <v>16</v>
      </c>
      <c r="I55" s="21">
        <v>18.2</v>
      </c>
      <c r="J55" s="5" t="s">
        <v>17</v>
      </c>
      <c r="K55" s="22"/>
      <c r="L55" s="7">
        <v>14</v>
      </c>
      <c r="M55" s="8">
        <f t="shared" si="0"/>
        <v>10161.016949152543</v>
      </c>
      <c r="N55" s="9">
        <f t="shared" si="1"/>
        <v>8738.4745762711864</v>
      </c>
      <c r="O55" s="10">
        <f t="shared" si="2"/>
        <v>10311.4</v>
      </c>
      <c r="P55" s="11">
        <v>11990</v>
      </c>
      <c r="Q55" s="12">
        <f>P55*1.8+8</f>
        <v>21590</v>
      </c>
    </row>
    <row r="56" spans="1:17" ht="15.75" customHeight="1">
      <c r="A56" s="69"/>
      <c r="B56" s="47">
        <v>19</v>
      </c>
      <c r="C56" s="47" t="s">
        <v>13</v>
      </c>
      <c r="D56" s="47" t="s">
        <v>42</v>
      </c>
      <c r="E56" s="47" t="s">
        <v>15</v>
      </c>
      <c r="F56" s="47" t="s">
        <v>43</v>
      </c>
      <c r="G56" s="48">
        <v>32099090</v>
      </c>
      <c r="H56" s="21" t="s">
        <v>16</v>
      </c>
      <c r="I56" s="21">
        <v>1</v>
      </c>
      <c r="J56" s="5" t="s">
        <v>17</v>
      </c>
      <c r="K56" s="22"/>
      <c r="L56" s="7">
        <v>14</v>
      </c>
      <c r="M56" s="8">
        <f t="shared" si="0"/>
        <v>754.2372881355933</v>
      </c>
      <c r="N56" s="9">
        <f t="shared" si="1"/>
        <v>648.64406779661022</v>
      </c>
      <c r="O56" s="10">
        <f t="shared" si="2"/>
        <v>765.4</v>
      </c>
      <c r="P56" s="11">
        <v>890</v>
      </c>
      <c r="Q56" s="12">
        <f>P56*1.8-12</f>
        <v>1590</v>
      </c>
    </row>
    <row r="57" spans="1:17" ht="15.75" customHeight="1">
      <c r="A57" s="69"/>
      <c r="B57" s="47"/>
      <c r="C57" s="47"/>
      <c r="D57" s="47"/>
      <c r="E57" s="47"/>
      <c r="F57" s="47"/>
      <c r="G57" s="48"/>
      <c r="H57" s="21" t="s">
        <v>16</v>
      </c>
      <c r="I57" s="21">
        <v>3.6</v>
      </c>
      <c r="J57" s="5" t="s">
        <v>17</v>
      </c>
      <c r="K57" s="22"/>
      <c r="L57" s="7">
        <v>14</v>
      </c>
      <c r="M57" s="8">
        <f t="shared" si="0"/>
        <v>2533.898305084746</v>
      </c>
      <c r="N57" s="9">
        <f t="shared" si="1"/>
        <v>2179.1525423728817</v>
      </c>
      <c r="O57" s="10">
        <f t="shared" si="2"/>
        <v>2571.4</v>
      </c>
      <c r="P57" s="11">
        <v>2990</v>
      </c>
      <c r="Q57" s="12">
        <f>P57*1.8+8</f>
        <v>5390</v>
      </c>
    </row>
    <row r="58" spans="1:17" ht="15.75" customHeight="1">
      <c r="A58" s="69"/>
      <c r="B58" s="47"/>
      <c r="C58" s="47"/>
      <c r="D58" s="47"/>
      <c r="E58" s="47"/>
      <c r="F58" s="47"/>
      <c r="G58" s="48"/>
      <c r="H58" s="21" t="s">
        <v>16</v>
      </c>
      <c r="I58" s="21">
        <v>9.1</v>
      </c>
      <c r="J58" s="5" t="s">
        <v>17</v>
      </c>
      <c r="K58" s="22"/>
      <c r="L58" s="7">
        <v>14</v>
      </c>
      <c r="M58" s="8">
        <f t="shared" si="0"/>
        <v>6262.7118644067796</v>
      </c>
      <c r="N58" s="9">
        <f t="shared" si="1"/>
        <v>5385.9322033898306</v>
      </c>
      <c r="O58" s="10">
        <f t="shared" si="2"/>
        <v>6355.4</v>
      </c>
      <c r="P58" s="11">
        <v>7390</v>
      </c>
      <c r="Q58" s="12">
        <f>P58*1.8-12</f>
        <v>13290</v>
      </c>
    </row>
    <row r="59" spans="1:17" ht="15.75" customHeight="1">
      <c r="A59" s="69"/>
      <c r="B59" s="47"/>
      <c r="C59" s="47"/>
      <c r="D59" s="47"/>
      <c r="E59" s="47"/>
      <c r="F59" s="47"/>
      <c r="G59" s="48"/>
      <c r="H59" s="21" t="s">
        <v>16</v>
      </c>
      <c r="I59" s="21">
        <v>18.2</v>
      </c>
      <c r="J59" s="5" t="s">
        <v>17</v>
      </c>
      <c r="K59" s="22"/>
      <c r="L59" s="7">
        <v>14</v>
      </c>
      <c r="M59" s="8">
        <f t="shared" si="0"/>
        <v>12279.661016949152</v>
      </c>
      <c r="N59" s="9">
        <f t="shared" si="1"/>
        <v>10560.508474576271</v>
      </c>
      <c r="O59" s="10">
        <f t="shared" si="2"/>
        <v>12461.399999999998</v>
      </c>
      <c r="P59" s="11">
        <v>14490</v>
      </c>
      <c r="Q59" s="12">
        <f>P59*1.8+8</f>
        <v>26090</v>
      </c>
    </row>
    <row r="60" spans="1:17" ht="15.75" customHeight="1">
      <c r="A60" s="69"/>
      <c r="B60" s="47">
        <v>20</v>
      </c>
      <c r="C60" s="47" t="s">
        <v>13</v>
      </c>
      <c r="D60" s="47" t="s">
        <v>42</v>
      </c>
      <c r="E60" s="47" t="s">
        <v>15</v>
      </c>
      <c r="F60" s="47" t="s">
        <v>44</v>
      </c>
      <c r="G60" s="48">
        <v>32099090</v>
      </c>
      <c r="H60" s="21" t="s">
        <v>16</v>
      </c>
      <c r="I60" s="21">
        <v>1</v>
      </c>
      <c r="J60" s="5" t="s">
        <v>17</v>
      </c>
      <c r="K60" s="22"/>
      <c r="L60" s="7">
        <v>14</v>
      </c>
      <c r="M60" s="8">
        <f t="shared" si="0"/>
        <v>754.2372881355933</v>
      </c>
      <c r="N60" s="9">
        <f t="shared" si="1"/>
        <v>648.64406779661022</v>
      </c>
      <c r="O60" s="10">
        <f t="shared" si="2"/>
        <v>765.4</v>
      </c>
      <c r="P60" s="11">
        <v>890</v>
      </c>
      <c r="Q60" s="12">
        <f>P60*1.8-12</f>
        <v>1590</v>
      </c>
    </row>
    <row r="61" spans="1:17" ht="15.75" customHeight="1">
      <c r="A61" s="69"/>
      <c r="B61" s="47"/>
      <c r="C61" s="47"/>
      <c r="D61" s="47"/>
      <c r="E61" s="47"/>
      <c r="F61" s="47"/>
      <c r="G61" s="48"/>
      <c r="H61" s="21" t="s">
        <v>16</v>
      </c>
      <c r="I61" s="21">
        <v>3.6</v>
      </c>
      <c r="J61" s="5" t="s">
        <v>17</v>
      </c>
      <c r="K61" s="22"/>
      <c r="L61" s="7">
        <v>14</v>
      </c>
      <c r="M61" s="8">
        <f t="shared" si="0"/>
        <v>2533.898305084746</v>
      </c>
      <c r="N61" s="9">
        <f t="shared" si="1"/>
        <v>2179.1525423728817</v>
      </c>
      <c r="O61" s="10">
        <f t="shared" si="2"/>
        <v>2571.4</v>
      </c>
      <c r="P61" s="11">
        <v>2990</v>
      </c>
      <c r="Q61" s="12">
        <f>P61*1.8+8</f>
        <v>5390</v>
      </c>
    </row>
    <row r="62" spans="1:17" ht="15.75" customHeight="1">
      <c r="A62" s="69"/>
      <c r="B62" s="47"/>
      <c r="C62" s="47"/>
      <c r="D62" s="47"/>
      <c r="E62" s="47"/>
      <c r="F62" s="47"/>
      <c r="G62" s="48"/>
      <c r="H62" s="21" t="s">
        <v>16</v>
      </c>
      <c r="I62" s="21">
        <v>9.1</v>
      </c>
      <c r="J62" s="5" t="s">
        <v>17</v>
      </c>
      <c r="K62" s="22"/>
      <c r="L62" s="7">
        <v>14</v>
      </c>
      <c r="M62" s="8">
        <f t="shared" si="0"/>
        <v>6262.7118644067796</v>
      </c>
      <c r="N62" s="9">
        <f t="shared" si="1"/>
        <v>5385.9322033898306</v>
      </c>
      <c r="O62" s="10">
        <f t="shared" si="2"/>
        <v>6355.4</v>
      </c>
      <c r="P62" s="11">
        <v>7390</v>
      </c>
      <c r="Q62" s="12">
        <f>P62*1.8-12</f>
        <v>13290</v>
      </c>
    </row>
    <row r="63" spans="1:17" ht="15.75" customHeight="1">
      <c r="A63" s="69"/>
      <c r="B63" s="47"/>
      <c r="C63" s="47"/>
      <c r="D63" s="47"/>
      <c r="E63" s="47"/>
      <c r="F63" s="47"/>
      <c r="G63" s="48"/>
      <c r="H63" s="21" t="s">
        <v>16</v>
      </c>
      <c r="I63" s="21">
        <v>18.2</v>
      </c>
      <c r="J63" s="5" t="s">
        <v>17</v>
      </c>
      <c r="K63" s="22"/>
      <c r="L63" s="7">
        <v>14</v>
      </c>
      <c r="M63" s="8">
        <f t="shared" si="0"/>
        <v>12279.661016949152</v>
      </c>
      <c r="N63" s="9">
        <f t="shared" si="1"/>
        <v>10560.508474576271</v>
      </c>
      <c r="O63" s="10">
        <f t="shared" si="2"/>
        <v>12461.399999999998</v>
      </c>
      <c r="P63" s="11">
        <v>14490</v>
      </c>
      <c r="Q63" s="12">
        <f>P63*1.8+8</f>
        <v>26090</v>
      </c>
    </row>
    <row r="64" spans="1:17" ht="15.75" customHeight="1">
      <c r="A64" s="69"/>
      <c r="B64" s="47">
        <v>21</v>
      </c>
      <c r="C64" s="47" t="s">
        <v>13</v>
      </c>
      <c r="D64" s="47" t="s">
        <v>42</v>
      </c>
      <c r="E64" s="47" t="s">
        <v>15</v>
      </c>
      <c r="F64" s="47" t="s">
        <v>45</v>
      </c>
      <c r="G64" s="48">
        <v>32099090</v>
      </c>
      <c r="H64" s="21" t="s">
        <v>16</v>
      </c>
      <c r="I64" s="21">
        <v>1</v>
      </c>
      <c r="J64" s="5" t="s">
        <v>17</v>
      </c>
      <c r="K64" s="22"/>
      <c r="L64" s="7">
        <v>14</v>
      </c>
      <c r="M64" s="8">
        <f t="shared" si="0"/>
        <v>669.49152542372883</v>
      </c>
      <c r="N64" s="9">
        <f t="shared" si="1"/>
        <v>575.76271186440681</v>
      </c>
      <c r="O64" s="10">
        <f t="shared" si="2"/>
        <v>679.4</v>
      </c>
      <c r="P64" s="11">
        <v>790</v>
      </c>
      <c r="Q64" s="12">
        <f>P64*1.8-32</f>
        <v>1390</v>
      </c>
    </row>
    <row r="65" spans="1:17" ht="15.75" customHeight="1">
      <c r="A65" s="69"/>
      <c r="B65" s="47"/>
      <c r="C65" s="47"/>
      <c r="D65" s="47"/>
      <c r="E65" s="47"/>
      <c r="F65" s="47"/>
      <c r="G65" s="48"/>
      <c r="H65" s="21" t="s">
        <v>16</v>
      </c>
      <c r="I65" s="21">
        <v>3.6</v>
      </c>
      <c r="J65" s="5" t="s">
        <v>17</v>
      </c>
      <c r="K65" s="22"/>
      <c r="L65" s="7">
        <v>14</v>
      </c>
      <c r="M65" s="8">
        <f t="shared" si="0"/>
        <v>2279.6610169491528</v>
      </c>
      <c r="N65" s="9">
        <f t="shared" si="1"/>
        <v>1960.5084745762713</v>
      </c>
      <c r="O65" s="10">
        <f t="shared" si="2"/>
        <v>2313.4</v>
      </c>
      <c r="P65" s="11">
        <v>2690</v>
      </c>
      <c r="Q65" s="12">
        <f>P65*1.8-52</f>
        <v>4790</v>
      </c>
    </row>
    <row r="66" spans="1:17" ht="15.75" customHeight="1">
      <c r="A66" s="69"/>
      <c r="B66" s="47"/>
      <c r="C66" s="47"/>
      <c r="D66" s="47"/>
      <c r="E66" s="47"/>
      <c r="F66" s="47"/>
      <c r="G66" s="48"/>
      <c r="H66" s="21" t="s">
        <v>16</v>
      </c>
      <c r="I66" s="21">
        <v>9.1</v>
      </c>
      <c r="J66" s="5" t="s">
        <v>17</v>
      </c>
      <c r="K66" s="22"/>
      <c r="L66" s="7">
        <v>14</v>
      </c>
      <c r="M66" s="8">
        <f t="shared" si="0"/>
        <v>5584.7457627118647</v>
      </c>
      <c r="N66" s="9">
        <f t="shared" si="1"/>
        <v>4802.8813559322034</v>
      </c>
      <c r="O66" s="10">
        <f t="shared" si="2"/>
        <v>5667.4</v>
      </c>
      <c r="P66" s="11">
        <v>6590</v>
      </c>
      <c r="Q66" s="12">
        <f>P66*1.8+28</f>
        <v>11890</v>
      </c>
    </row>
    <row r="67" spans="1:17" ht="15.75" customHeight="1">
      <c r="A67" s="69"/>
      <c r="B67" s="47"/>
      <c r="C67" s="47"/>
      <c r="D67" s="47"/>
      <c r="E67" s="47"/>
      <c r="F67" s="47"/>
      <c r="G67" s="48"/>
      <c r="H67" s="21" t="s">
        <v>16</v>
      </c>
      <c r="I67" s="21">
        <v>18.2</v>
      </c>
      <c r="J67" s="5" t="s">
        <v>17</v>
      </c>
      <c r="K67" s="22"/>
      <c r="L67" s="7">
        <v>14</v>
      </c>
      <c r="M67" s="8">
        <f t="shared" si="0"/>
        <v>11008.474576271186</v>
      </c>
      <c r="N67" s="9">
        <f t="shared" si="1"/>
        <v>9467.2881355932204</v>
      </c>
      <c r="O67" s="10">
        <f t="shared" si="2"/>
        <v>11171.4</v>
      </c>
      <c r="P67" s="11">
        <v>12990</v>
      </c>
      <c r="Q67" s="12">
        <f>P67*1.8+8</f>
        <v>23390</v>
      </c>
    </row>
    <row r="68" spans="1:17" ht="15.75" customHeight="1">
      <c r="A68" s="65" t="s">
        <v>46</v>
      </c>
      <c r="B68" s="47">
        <v>22</v>
      </c>
      <c r="C68" s="47" t="s">
        <v>13</v>
      </c>
      <c r="D68" s="47" t="s">
        <v>47</v>
      </c>
      <c r="E68" s="47" t="s">
        <v>15</v>
      </c>
      <c r="F68" s="47" t="s">
        <v>48</v>
      </c>
      <c r="G68" s="48">
        <v>39100090</v>
      </c>
      <c r="H68" s="21" t="s">
        <v>16</v>
      </c>
      <c r="I68" s="21">
        <v>1</v>
      </c>
      <c r="J68" s="5" t="s">
        <v>17</v>
      </c>
      <c r="K68" s="22"/>
      <c r="L68" s="7">
        <v>15</v>
      </c>
      <c r="M68" s="8">
        <f t="shared" si="0"/>
        <v>415.25423728813564</v>
      </c>
      <c r="N68" s="9">
        <f t="shared" si="1"/>
        <v>352.96610169491532</v>
      </c>
      <c r="O68" s="10">
        <f t="shared" si="2"/>
        <v>416.50000000000006</v>
      </c>
      <c r="P68" s="9">
        <v>490</v>
      </c>
      <c r="Q68" s="12">
        <f>P68*1.8+8</f>
        <v>890</v>
      </c>
    </row>
    <row r="69" spans="1:17" ht="15.75" customHeight="1">
      <c r="A69" s="65"/>
      <c r="B69" s="47"/>
      <c r="C69" s="47"/>
      <c r="D69" s="47"/>
      <c r="E69" s="47"/>
      <c r="F69" s="47"/>
      <c r="G69" s="48"/>
      <c r="H69" s="21" t="s">
        <v>16</v>
      </c>
      <c r="I69" s="21">
        <v>5</v>
      </c>
      <c r="J69" s="5" t="s">
        <v>17</v>
      </c>
      <c r="K69" s="22"/>
      <c r="L69" s="7">
        <v>15</v>
      </c>
      <c r="M69" s="8">
        <f t="shared" si="0"/>
        <v>1771.1864406779662</v>
      </c>
      <c r="N69" s="9">
        <f t="shared" si="1"/>
        <v>1505.5084745762713</v>
      </c>
      <c r="O69" s="10">
        <f t="shared" si="2"/>
        <v>1776.5</v>
      </c>
      <c r="P69" s="9">
        <v>2090</v>
      </c>
      <c r="Q69" s="12">
        <f>P69*1.8+28</f>
        <v>3790</v>
      </c>
    </row>
    <row r="70" spans="1:17" ht="15.75" customHeight="1">
      <c r="A70" s="65"/>
      <c r="B70" s="47"/>
      <c r="C70" s="47"/>
      <c r="D70" s="47"/>
      <c r="E70" s="47"/>
      <c r="F70" s="47"/>
      <c r="G70" s="48"/>
      <c r="H70" s="21" t="s">
        <v>16</v>
      </c>
      <c r="I70" s="21">
        <v>20</v>
      </c>
      <c r="J70" s="5" t="s">
        <v>17</v>
      </c>
      <c r="K70" s="22"/>
      <c r="L70" s="7">
        <v>15</v>
      </c>
      <c r="M70" s="8">
        <f t="shared" si="0"/>
        <v>6771.1864406779669</v>
      </c>
      <c r="N70" s="9">
        <f t="shared" si="1"/>
        <v>5755.5084745762715</v>
      </c>
      <c r="O70" s="10">
        <f t="shared" si="2"/>
        <v>6791.5</v>
      </c>
      <c r="P70" s="9">
        <v>7990</v>
      </c>
      <c r="Q70" s="12">
        <f>P70*1.8+8</f>
        <v>14390</v>
      </c>
    </row>
    <row r="71" spans="1:17" ht="15.75" customHeight="1">
      <c r="A71" s="65"/>
      <c r="B71" s="47">
        <v>23</v>
      </c>
      <c r="C71" s="47" t="s">
        <v>13</v>
      </c>
      <c r="D71" s="47" t="s">
        <v>47</v>
      </c>
      <c r="E71" s="47" t="s">
        <v>15</v>
      </c>
      <c r="F71" s="47" t="s">
        <v>49</v>
      </c>
      <c r="G71" s="48">
        <v>29319090</v>
      </c>
      <c r="H71" s="21" t="s">
        <v>16</v>
      </c>
      <c r="I71" s="21">
        <v>1</v>
      </c>
      <c r="J71" s="5" t="s">
        <v>17</v>
      </c>
      <c r="K71" s="22"/>
      <c r="L71" s="7">
        <v>11</v>
      </c>
      <c r="M71" s="8">
        <f t="shared" si="0"/>
        <v>245.76271186440678</v>
      </c>
      <c r="N71" s="9">
        <f t="shared" si="1"/>
        <v>218.72881355932202</v>
      </c>
      <c r="O71" s="10">
        <f t="shared" si="2"/>
        <v>258.09999999999997</v>
      </c>
      <c r="P71" s="9">
        <v>290</v>
      </c>
      <c r="Q71" s="12">
        <f>P71*1.8-32</f>
        <v>490</v>
      </c>
    </row>
    <row r="72" spans="1:17" ht="15.75" customHeight="1">
      <c r="A72" s="65"/>
      <c r="B72" s="47"/>
      <c r="C72" s="47"/>
      <c r="D72" s="47"/>
      <c r="E72" s="47"/>
      <c r="F72" s="47"/>
      <c r="G72" s="48"/>
      <c r="H72" s="21" t="s">
        <v>16</v>
      </c>
      <c r="I72" s="21">
        <v>5</v>
      </c>
      <c r="J72" s="5" t="s">
        <v>17</v>
      </c>
      <c r="K72" s="22"/>
      <c r="L72" s="7">
        <v>11</v>
      </c>
      <c r="M72" s="8">
        <f t="shared" si="0"/>
        <v>1093.2203389830509</v>
      </c>
      <c r="N72" s="9">
        <f t="shared" si="1"/>
        <v>972.96610169491521</v>
      </c>
      <c r="O72" s="10">
        <f t="shared" si="2"/>
        <v>1148.0999999999999</v>
      </c>
      <c r="P72" s="9">
        <v>1290</v>
      </c>
      <c r="Q72" s="12">
        <f>P72*1.8-32</f>
        <v>2290</v>
      </c>
    </row>
    <row r="73" spans="1:17" ht="15.75" customHeight="1">
      <c r="A73" s="65"/>
      <c r="B73" s="47"/>
      <c r="C73" s="47"/>
      <c r="D73" s="47"/>
      <c r="E73" s="47"/>
      <c r="F73" s="47"/>
      <c r="G73" s="48"/>
      <c r="H73" s="21" t="s">
        <v>16</v>
      </c>
      <c r="I73" s="21">
        <v>20</v>
      </c>
      <c r="J73" s="5" t="s">
        <v>17</v>
      </c>
      <c r="K73" s="22"/>
      <c r="L73" s="7">
        <v>11</v>
      </c>
      <c r="M73" s="8">
        <f t="shared" si="0"/>
        <v>4228.8135593220341</v>
      </c>
      <c r="N73" s="9">
        <f t="shared" si="1"/>
        <v>3763.6440677966102</v>
      </c>
      <c r="O73" s="10">
        <f t="shared" si="2"/>
        <v>4441.0999999999995</v>
      </c>
      <c r="P73" s="9">
        <v>4990</v>
      </c>
      <c r="Q73" s="12">
        <f>P73*1.8+8</f>
        <v>8990</v>
      </c>
    </row>
    <row r="74" spans="1:17" ht="15.75" customHeight="1">
      <c r="A74" s="65"/>
      <c r="B74" s="47">
        <v>24</v>
      </c>
      <c r="C74" s="47" t="s">
        <v>13</v>
      </c>
      <c r="D74" s="47" t="s">
        <v>47</v>
      </c>
      <c r="E74" s="47" t="s">
        <v>15</v>
      </c>
      <c r="F74" s="47" t="s">
        <v>50</v>
      </c>
      <c r="G74" s="48">
        <v>38249900</v>
      </c>
      <c r="H74" s="21" t="s">
        <v>16</v>
      </c>
      <c r="I74" s="21">
        <v>1</v>
      </c>
      <c r="J74" s="5" t="s">
        <v>17</v>
      </c>
      <c r="K74" s="22"/>
      <c r="L74" s="7">
        <v>11</v>
      </c>
      <c r="M74" s="8">
        <f t="shared" si="0"/>
        <v>245.76271186440678</v>
      </c>
      <c r="N74" s="9">
        <f t="shared" si="1"/>
        <v>218.72881355932202</v>
      </c>
      <c r="O74" s="10">
        <f t="shared" si="2"/>
        <v>258.09999999999997</v>
      </c>
      <c r="P74" s="9">
        <v>290</v>
      </c>
      <c r="Q74" s="12">
        <f>P74*1.8-32</f>
        <v>490</v>
      </c>
    </row>
    <row r="75" spans="1:17" ht="15.75" customHeight="1">
      <c r="A75" s="65"/>
      <c r="B75" s="47"/>
      <c r="C75" s="47"/>
      <c r="D75" s="47"/>
      <c r="E75" s="47"/>
      <c r="F75" s="47"/>
      <c r="G75" s="48"/>
      <c r="H75" s="21" t="s">
        <v>16</v>
      </c>
      <c r="I75" s="21">
        <v>5</v>
      </c>
      <c r="J75" s="5" t="s">
        <v>17</v>
      </c>
      <c r="K75" s="22"/>
      <c r="L75" s="7">
        <v>11</v>
      </c>
      <c r="M75" s="8">
        <f t="shared" si="0"/>
        <v>1093.2203389830509</v>
      </c>
      <c r="N75" s="9">
        <f t="shared" si="1"/>
        <v>972.96610169491521</v>
      </c>
      <c r="O75" s="10">
        <f t="shared" si="2"/>
        <v>1148.0999999999999</v>
      </c>
      <c r="P75" s="9">
        <v>1290</v>
      </c>
      <c r="Q75" s="12">
        <f>P75*1.8-32</f>
        <v>2290</v>
      </c>
    </row>
    <row r="76" spans="1:17" ht="15.75" customHeight="1">
      <c r="A76" s="65"/>
      <c r="B76" s="47"/>
      <c r="C76" s="47"/>
      <c r="D76" s="47"/>
      <c r="E76" s="47"/>
      <c r="F76" s="47"/>
      <c r="G76" s="48"/>
      <c r="H76" s="21" t="s">
        <v>16</v>
      </c>
      <c r="I76" s="21">
        <v>20</v>
      </c>
      <c r="J76" s="5" t="s">
        <v>17</v>
      </c>
      <c r="K76" s="22"/>
      <c r="L76" s="7">
        <v>11</v>
      </c>
      <c r="M76" s="8">
        <f t="shared" si="0"/>
        <v>4228.8135593220341</v>
      </c>
      <c r="N76" s="9">
        <f t="shared" si="1"/>
        <v>3763.6440677966102</v>
      </c>
      <c r="O76" s="10">
        <f t="shared" si="2"/>
        <v>4441.0999999999995</v>
      </c>
      <c r="P76" s="9">
        <v>4990</v>
      </c>
      <c r="Q76" s="12">
        <f>P76*1.8+8</f>
        <v>8990</v>
      </c>
    </row>
    <row r="77" spans="1:17" ht="15.75" customHeight="1">
      <c r="A77" s="65"/>
      <c r="B77" s="47">
        <v>25</v>
      </c>
      <c r="C77" s="47" t="s">
        <v>13</v>
      </c>
      <c r="D77" s="47" t="s">
        <v>51</v>
      </c>
      <c r="E77" s="47" t="s">
        <v>15</v>
      </c>
      <c r="F77" s="47"/>
      <c r="G77" s="48">
        <v>32099090</v>
      </c>
      <c r="H77" s="21" t="s">
        <v>16</v>
      </c>
      <c r="I77" s="21">
        <v>1</v>
      </c>
      <c r="J77" s="5" t="s">
        <v>17</v>
      </c>
      <c r="K77" s="22"/>
      <c r="L77" s="7">
        <v>11</v>
      </c>
      <c r="M77" s="8">
        <f t="shared" si="0"/>
        <v>295.76271186440681</v>
      </c>
      <c r="N77" s="9">
        <f t="shared" si="1"/>
        <v>263.22881355932208</v>
      </c>
      <c r="O77" s="10">
        <f t="shared" si="2"/>
        <v>310.61</v>
      </c>
      <c r="P77" s="11">
        <v>349</v>
      </c>
      <c r="Q77" s="12">
        <f>P77*1.8-38.2</f>
        <v>590</v>
      </c>
    </row>
    <row r="78" spans="1:17" ht="15.75" customHeight="1">
      <c r="A78" s="65"/>
      <c r="B78" s="47"/>
      <c r="C78" s="47"/>
      <c r="D78" s="47"/>
      <c r="E78" s="47"/>
      <c r="F78" s="47"/>
      <c r="G78" s="48"/>
      <c r="H78" s="21" t="s">
        <v>16</v>
      </c>
      <c r="I78" s="21">
        <v>3.6</v>
      </c>
      <c r="J78" s="5" t="s">
        <v>17</v>
      </c>
      <c r="K78" s="22"/>
      <c r="L78" s="7">
        <v>11</v>
      </c>
      <c r="M78" s="8">
        <f t="shared" si="0"/>
        <v>923.72881355932213</v>
      </c>
      <c r="N78" s="9">
        <f t="shared" si="1"/>
        <v>822.11864406779671</v>
      </c>
      <c r="O78" s="10">
        <f t="shared" si="2"/>
        <v>970.1</v>
      </c>
      <c r="P78" s="11">
        <v>1090</v>
      </c>
      <c r="Q78" s="12">
        <f>P78*1.8+28</f>
        <v>1990</v>
      </c>
    </row>
    <row r="79" spans="1:17" ht="15.75" customHeight="1">
      <c r="A79" s="65"/>
      <c r="B79" s="47"/>
      <c r="C79" s="47"/>
      <c r="D79" s="47"/>
      <c r="E79" s="47"/>
      <c r="F79" s="47"/>
      <c r="G79" s="48"/>
      <c r="H79" s="21" t="s">
        <v>16</v>
      </c>
      <c r="I79" s="21">
        <v>9.1</v>
      </c>
      <c r="J79" s="5" t="s">
        <v>17</v>
      </c>
      <c r="K79" s="22"/>
      <c r="L79" s="7">
        <v>11</v>
      </c>
      <c r="M79" s="8">
        <f t="shared" si="0"/>
        <v>2279.6610169491528</v>
      </c>
      <c r="N79" s="9">
        <f t="shared" si="1"/>
        <v>2028.898305084746</v>
      </c>
      <c r="O79" s="10">
        <f t="shared" si="2"/>
        <v>2394.1</v>
      </c>
      <c r="P79" s="11">
        <v>2690</v>
      </c>
      <c r="Q79" s="12">
        <f>P79*1.8-52</f>
        <v>4790</v>
      </c>
    </row>
    <row r="80" spans="1:17" ht="15.75" customHeight="1">
      <c r="A80" s="65"/>
      <c r="B80" s="47"/>
      <c r="C80" s="47"/>
      <c r="D80" s="47"/>
      <c r="E80" s="47"/>
      <c r="F80" s="47"/>
      <c r="G80" s="48"/>
      <c r="H80" s="21" t="s">
        <v>16</v>
      </c>
      <c r="I80" s="21">
        <v>18.2</v>
      </c>
      <c r="J80" s="5" t="s">
        <v>17</v>
      </c>
      <c r="K80" s="22"/>
      <c r="L80" s="7">
        <v>11</v>
      </c>
      <c r="M80" s="8">
        <f t="shared" si="0"/>
        <v>4483.0508474576272</v>
      </c>
      <c r="N80" s="9">
        <f t="shared" si="1"/>
        <v>3989.9152542372881</v>
      </c>
      <c r="O80" s="10">
        <f t="shared" si="2"/>
        <v>4708.0999999999995</v>
      </c>
      <c r="P80" s="11">
        <v>5290</v>
      </c>
      <c r="Q80" s="12">
        <f>P80*1.8-32</f>
        <v>9490</v>
      </c>
    </row>
    <row r="81" spans="1:17" ht="15.75" customHeight="1">
      <c r="A81" s="65"/>
      <c r="B81" s="47">
        <v>26</v>
      </c>
      <c r="C81" s="47" t="s">
        <v>13</v>
      </c>
      <c r="D81" s="47" t="s">
        <v>51</v>
      </c>
      <c r="E81" s="47" t="s">
        <v>15</v>
      </c>
      <c r="F81" s="47" t="s">
        <v>19</v>
      </c>
      <c r="G81" s="48">
        <v>39095000</v>
      </c>
      <c r="H81" s="18" t="s">
        <v>16</v>
      </c>
      <c r="I81" s="18">
        <v>1</v>
      </c>
      <c r="J81" s="18" t="s">
        <v>17</v>
      </c>
      <c r="K81" s="22"/>
      <c r="L81" s="7">
        <v>11</v>
      </c>
      <c r="M81" s="8">
        <f t="shared" ref="M81:M144" si="3">P81/1.18</f>
        <v>500</v>
      </c>
      <c r="N81" s="9">
        <f t="shared" ref="N81:N144" si="4">M81-M81*L81%</f>
        <v>445</v>
      </c>
      <c r="O81" s="10">
        <f t="shared" ref="O81:O144" si="5">N81*1.18</f>
        <v>525.1</v>
      </c>
      <c r="P81" s="11">
        <v>590</v>
      </c>
      <c r="Q81" s="12">
        <f>P81*1.8+28</f>
        <v>1090</v>
      </c>
    </row>
    <row r="82" spans="1:17" ht="15.75" customHeight="1">
      <c r="A82" s="65"/>
      <c r="B82" s="47"/>
      <c r="C82" s="47"/>
      <c r="D82" s="47"/>
      <c r="E82" s="47"/>
      <c r="F82" s="47"/>
      <c r="G82" s="48"/>
      <c r="H82" s="18" t="s">
        <v>16</v>
      </c>
      <c r="I82" s="18">
        <v>3.6</v>
      </c>
      <c r="J82" s="18" t="s">
        <v>17</v>
      </c>
      <c r="K82" s="22"/>
      <c r="L82" s="7">
        <v>11</v>
      </c>
      <c r="M82" s="8">
        <f t="shared" si="3"/>
        <v>1601.6949152542375</v>
      </c>
      <c r="N82" s="9">
        <f t="shared" si="4"/>
        <v>1425.5084745762713</v>
      </c>
      <c r="O82" s="10">
        <f t="shared" si="5"/>
        <v>1682.1000000000001</v>
      </c>
      <c r="P82" s="11">
        <v>1890</v>
      </c>
      <c r="Q82" s="12">
        <f>P82*1.8-12</f>
        <v>3390</v>
      </c>
    </row>
    <row r="83" spans="1:17" ht="15.75" customHeight="1">
      <c r="A83" s="65"/>
      <c r="B83" s="47"/>
      <c r="C83" s="47"/>
      <c r="D83" s="47"/>
      <c r="E83" s="47"/>
      <c r="F83" s="47"/>
      <c r="G83" s="48"/>
      <c r="H83" s="18" t="s">
        <v>16</v>
      </c>
      <c r="I83" s="18">
        <v>9.1</v>
      </c>
      <c r="J83" s="18" t="s">
        <v>17</v>
      </c>
      <c r="K83" s="22"/>
      <c r="L83" s="7">
        <v>11</v>
      </c>
      <c r="M83" s="8">
        <f t="shared" si="3"/>
        <v>3889.8305084745766</v>
      </c>
      <c r="N83" s="9">
        <f t="shared" si="4"/>
        <v>3461.9491525423732</v>
      </c>
      <c r="O83" s="10">
        <f t="shared" si="5"/>
        <v>4085.1000000000004</v>
      </c>
      <c r="P83" s="11">
        <v>4590</v>
      </c>
      <c r="Q83" s="12">
        <f>P83*1.8+28</f>
        <v>8290</v>
      </c>
    </row>
    <row r="84" spans="1:17" ht="15.75" customHeight="1">
      <c r="A84" s="65"/>
      <c r="B84" s="47"/>
      <c r="C84" s="47"/>
      <c r="D84" s="47"/>
      <c r="E84" s="47"/>
      <c r="F84" s="47"/>
      <c r="G84" s="48"/>
      <c r="H84" s="18" t="s">
        <v>16</v>
      </c>
      <c r="I84" s="18">
        <v>18.2</v>
      </c>
      <c r="J84" s="18" t="s">
        <v>17</v>
      </c>
      <c r="K84" s="22"/>
      <c r="L84" s="7">
        <v>11</v>
      </c>
      <c r="M84" s="8">
        <f t="shared" si="3"/>
        <v>7618.6440677966102</v>
      </c>
      <c r="N84" s="9">
        <f t="shared" si="4"/>
        <v>6780.593220338983</v>
      </c>
      <c r="O84" s="10">
        <f t="shared" si="5"/>
        <v>8001.0999999999995</v>
      </c>
      <c r="P84" s="11">
        <v>8990</v>
      </c>
      <c r="Q84" s="12">
        <f>P84*1.8+8</f>
        <v>16190</v>
      </c>
    </row>
    <row r="85" spans="1:17" ht="15.75" customHeight="1">
      <c r="A85" s="65"/>
      <c r="B85" s="47">
        <v>27</v>
      </c>
      <c r="C85" s="47" t="s">
        <v>13</v>
      </c>
      <c r="D85" s="47" t="s">
        <v>51</v>
      </c>
      <c r="E85" s="47" t="s">
        <v>15</v>
      </c>
      <c r="F85" s="47" t="s">
        <v>21</v>
      </c>
      <c r="G85" s="48">
        <v>32099090</v>
      </c>
      <c r="H85" s="18" t="s">
        <v>16</v>
      </c>
      <c r="I85" s="18">
        <v>1</v>
      </c>
      <c r="J85" s="18" t="s">
        <v>17</v>
      </c>
      <c r="K85" s="22"/>
      <c r="L85" s="7">
        <v>11</v>
      </c>
      <c r="M85" s="8">
        <f t="shared" si="3"/>
        <v>380.50847457627123</v>
      </c>
      <c r="N85" s="9">
        <f t="shared" si="4"/>
        <v>338.65254237288138</v>
      </c>
      <c r="O85" s="10">
        <f t="shared" si="5"/>
        <v>399.61</v>
      </c>
      <c r="P85" s="9">
        <v>449</v>
      </c>
      <c r="Q85" s="12">
        <f>P85*1.8-18.2</f>
        <v>790</v>
      </c>
    </row>
    <row r="86" spans="1:17" ht="15.75" customHeight="1">
      <c r="A86" s="65"/>
      <c r="B86" s="47"/>
      <c r="C86" s="47"/>
      <c r="D86" s="47"/>
      <c r="E86" s="47"/>
      <c r="F86" s="47"/>
      <c r="G86" s="48"/>
      <c r="H86" s="18" t="s">
        <v>16</v>
      </c>
      <c r="I86" s="18">
        <v>3.6</v>
      </c>
      <c r="J86" s="18" t="s">
        <v>17</v>
      </c>
      <c r="K86" s="22"/>
      <c r="L86" s="7">
        <v>11</v>
      </c>
      <c r="M86" s="8">
        <f t="shared" si="3"/>
        <v>1262.7118644067798</v>
      </c>
      <c r="N86" s="9">
        <f t="shared" si="4"/>
        <v>1123.8135593220341</v>
      </c>
      <c r="O86" s="10">
        <f t="shared" si="5"/>
        <v>1326.1000000000001</v>
      </c>
      <c r="P86" s="9">
        <v>1490</v>
      </c>
      <c r="Q86" s="12">
        <f>P86*1.8+8</f>
        <v>2690</v>
      </c>
    </row>
    <row r="87" spans="1:17" ht="15.75" customHeight="1">
      <c r="A87" s="65"/>
      <c r="B87" s="47"/>
      <c r="C87" s="47"/>
      <c r="D87" s="47"/>
      <c r="E87" s="47"/>
      <c r="F87" s="47"/>
      <c r="G87" s="48"/>
      <c r="H87" s="18" t="s">
        <v>16</v>
      </c>
      <c r="I87" s="18">
        <v>9.1</v>
      </c>
      <c r="J87" s="18" t="s">
        <v>17</v>
      </c>
      <c r="K87" s="22"/>
      <c r="L87" s="7">
        <v>11</v>
      </c>
      <c r="M87" s="8">
        <f t="shared" si="3"/>
        <v>3127.1186440677966</v>
      </c>
      <c r="N87" s="9">
        <f t="shared" si="4"/>
        <v>2783.1355932203392</v>
      </c>
      <c r="O87" s="10">
        <f t="shared" si="5"/>
        <v>3284.1</v>
      </c>
      <c r="P87" s="9">
        <v>3690</v>
      </c>
      <c r="Q87" s="12">
        <f>P87*1.8+48</f>
        <v>6690</v>
      </c>
    </row>
    <row r="88" spans="1:17" ht="15.75" customHeight="1">
      <c r="A88" s="65"/>
      <c r="B88" s="47"/>
      <c r="C88" s="47"/>
      <c r="D88" s="47"/>
      <c r="E88" s="47"/>
      <c r="F88" s="47"/>
      <c r="G88" s="48"/>
      <c r="H88" s="18" t="s">
        <v>16</v>
      </c>
      <c r="I88" s="18">
        <v>18.2</v>
      </c>
      <c r="J88" s="18" t="s">
        <v>17</v>
      </c>
      <c r="K88" s="22"/>
      <c r="L88" s="7">
        <v>11</v>
      </c>
      <c r="M88" s="8">
        <f t="shared" si="3"/>
        <v>5923.7288135593226</v>
      </c>
      <c r="N88" s="9">
        <f t="shared" si="4"/>
        <v>5272.1186440677975</v>
      </c>
      <c r="O88" s="10">
        <f t="shared" si="5"/>
        <v>6221.1</v>
      </c>
      <c r="P88" s="9">
        <v>6990</v>
      </c>
      <c r="Q88" s="12">
        <f>P88*1.8+8</f>
        <v>12590</v>
      </c>
    </row>
    <row r="89" spans="1:17" ht="15.75" customHeight="1">
      <c r="A89" s="65"/>
      <c r="B89" s="47">
        <v>28</v>
      </c>
      <c r="C89" s="47" t="s">
        <v>13</v>
      </c>
      <c r="D89" s="47" t="s">
        <v>51</v>
      </c>
      <c r="E89" s="47" t="s">
        <v>52</v>
      </c>
      <c r="F89" s="47" t="s">
        <v>24</v>
      </c>
      <c r="G89" s="48">
        <v>32099090</v>
      </c>
      <c r="H89" s="21" t="s">
        <v>41</v>
      </c>
      <c r="I89" s="21">
        <v>3</v>
      </c>
      <c r="J89" s="5" t="s">
        <v>17</v>
      </c>
      <c r="K89" s="28" t="s">
        <v>53</v>
      </c>
      <c r="L89" s="23">
        <v>11</v>
      </c>
      <c r="M89" s="8">
        <f t="shared" si="3"/>
        <v>2449.1525423728813</v>
      </c>
      <c r="N89" s="9">
        <f t="shared" si="4"/>
        <v>2179.7457627118642</v>
      </c>
      <c r="O89" s="10">
        <f t="shared" si="5"/>
        <v>2572.0999999999995</v>
      </c>
      <c r="P89" s="11">
        <v>2890</v>
      </c>
      <c r="Q89" s="12">
        <f>P89*1.8-12</f>
        <v>5190</v>
      </c>
    </row>
    <row r="90" spans="1:17" ht="15.75" customHeight="1">
      <c r="A90" s="65"/>
      <c r="B90" s="47"/>
      <c r="C90" s="47"/>
      <c r="D90" s="47"/>
      <c r="E90" s="47"/>
      <c r="F90" s="47"/>
      <c r="G90" s="48"/>
      <c r="H90" s="21" t="s">
        <v>41</v>
      </c>
      <c r="I90" s="21">
        <v>15</v>
      </c>
      <c r="J90" s="5" t="s">
        <v>17</v>
      </c>
      <c r="K90" s="28" t="s">
        <v>53</v>
      </c>
      <c r="L90" s="23">
        <v>11</v>
      </c>
      <c r="M90" s="8">
        <f t="shared" si="3"/>
        <v>12110.169491525425</v>
      </c>
      <c r="N90" s="9">
        <f t="shared" si="4"/>
        <v>10778.050847457627</v>
      </c>
      <c r="O90" s="10">
        <f t="shared" si="5"/>
        <v>12718.1</v>
      </c>
      <c r="P90" s="11">
        <v>14290</v>
      </c>
      <c r="Q90" s="12">
        <f>P90*1.8-32</f>
        <v>25690</v>
      </c>
    </row>
    <row r="91" spans="1:17" ht="15.75" customHeight="1">
      <c r="A91" s="65"/>
      <c r="B91" s="47"/>
      <c r="C91" s="47"/>
      <c r="D91" s="47"/>
      <c r="E91" s="47"/>
      <c r="F91" s="47"/>
      <c r="G91" s="48"/>
      <c r="H91" s="21" t="s">
        <v>41</v>
      </c>
      <c r="I91" s="21">
        <v>30</v>
      </c>
      <c r="J91" s="5" t="s">
        <v>17</v>
      </c>
      <c r="K91" s="28" t="s">
        <v>53</v>
      </c>
      <c r="L91" s="23">
        <v>11</v>
      </c>
      <c r="M91" s="8">
        <f t="shared" si="3"/>
        <v>23720.338983050849</v>
      </c>
      <c r="N91" s="9">
        <f t="shared" si="4"/>
        <v>21111.101694915254</v>
      </c>
      <c r="O91" s="10">
        <f t="shared" si="5"/>
        <v>24911.1</v>
      </c>
      <c r="P91" s="11">
        <v>27990</v>
      </c>
      <c r="Q91" s="12">
        <f>P91*1.8+8</f>
        <v>50390</v>
      </c>
    </row>
    <row r="92" spans="1:17" ht="15.75" customHeight="1">
      <c r="A92" s="65"/>
      <c r="B92" s="47">
        <v>29</v>
      </c>
      <c r="C92" s="47" t="s">
        <v>13</v>
      </c>
      <c r="D92" s="47" t="s">
        <v>134</v>
      </c>
      <c r="E92" s="47" t="s">
        <v>102</v>
      </c>
      <c r="F92" s="47" t="s">
        <v>49</v>
      </c>
      <c r="G92" s="48">
        <v>32149090</v>
      </c>
      <c r="H92" s="18" t="s">
        <v>41</v>
      </c>
      <c r="I92" s="18">
        <v>2</v>
      </c>
      <c r="J92" s="18" t="s">
        <v>17</v>
      </c>
      <c r="K92" s="28"/>
      <c r="L92" s="23">
        <v>11</v>
      </c>
      <c r="M92" s="8">
        <f t="shared" si="3"/>
        <v>1601.6949152542375</v>
      </c>
      <c r="N92" s="9">
        <f t="shared" si="4"/>
        <v>1425.5084745762713</v>
      </c>
      <c r="O92" s="10">
        <f t="shared" si="5"/>
        <v>1682.1000000000001</v>
      </c>
      <c r="P92" s="9">
        <v>1890</v>
      </c>
      <c r="Q92" s="41">
        <f>P92*1.8-12</f>
        <v>3390</v>
      </c>
    </row>
    <row r="93" spans="1:17" ht="15.75" customHeight="1">
      <c r="A93" s="65"/>
      <c r="B93" s="47"/>
      <c r="C93" s="47"/>
      <c r="D93" s="47"/>
      <c r="E93" s="47"/>
      <c r="F93" s="47"/>
      <c r="G93" s="48"/>
      <c r="H93" s="18" t="s">
        <v>41</v>
      </c>
      <c r="I93" s="18">
        <v>10</v>
      </c>
      <c r="J93" s="18" t="s">
        <v>17</v>
      </c>
      <c r="K93" s="28"/>
      <c r="L93" s="23">
        <v>11</v>
      </c>
      <c r="M93" s="8">
        <f t="shared" si="3"/>
        <v>7788.1355932203396</v>
      </c>
      <c r="N93" s="9">
        <f t="shared" si="4"/>
        <v>6931.4406779661022</v>
      </c>
      <c r="O93" s="10">
        <f t="shared" si="5"/>
        <v>8179.1</v>
      </c>
      <c r="P93" s="9">
        <v>9190</v>
      </c>
      <c r="Q93" s="41">
        <f>P93*1.8-52</f>
        <v>16490</v>
      </c>
    </row>
    <row r="94" spans="1:17" ht="15.75" customHeight="1">
      <c r="A94" s="65"/>
      <c r="B94" s="47"/>
      <c r="C94" s="47"/>
      <c r="D94" s="47"/>
      <c r="E94" s="47"/>
      <c r="F94" s="47"/>
      <c r="G94" s="48"/>
      <c r="H94" s="18" t="s">
        <v>41</v>
      </c>
      <c r="I94" s="18">
        <v>20</v>
      </c>
      <c r="J94" s="18" t="s">
        <v>17</v>
      </c>
      <c r="K94" s="28"/>
      <c r="L94" s="23">
        <v>11</v>
      </c>
      <c r="M94" s="8">
        <f t="shared" si="3"/>
        <v>15245.762711864407</v>
      </c>
      <c r="N94" s="9">
        <f t="shared" si="4"/>
        <v>13568.728813559323</v>
      </c>
      <c r="O94" s="10">
        <f t="shared" si="5"/>
        <v>16011.1</v>
      </c>
      <c r="P94" s="9">
        <v>17990</v>
      </c>
      <c r="Q94" s="41">
        <f>P94*1.8+8</f>
        <v>32390</v>
      </c>
    </row>
    <row r="95" spans="1:17" ht="15.75" customHeight="1">
      <c r="A95" s="65"/>
      <c r="B95" s="47">
        <v>30</v>
      </c>
      <c r="C95" s="47" t="s">
        <v>13</v>
      </c>
      <c r="D95" s="47" t="s">
        <v>135</v>
      </c>
      <c r="E95" s="47" t="s">
        <v>52</v>
      </c>
      <c r="F95" s="47"/>
      <c r="G95" s="48">
        <v>38249090</v>
      </c>
      <c r="H95" s="18" t="s">
        <v>16</v>
      </c>
      <c r="I95" s="18">
        <v>1</v>
      </c>
      <c r="J95" s="18" t="s">
        <v>17</v>
      </c>
      <c r="K95" s="28"/>
      <c r="L95" s="23">
        <v>11</v>
      </c>
      <c r="M95" s="8">
        <f t="shared" si="3"/>
        <v>330.50847457627123</v>
      </c>
      <c r="N95" s="9">
        <f t="shared" si="4"/>
        <v>294.15254237288138</v>
      </c>
      <c r="O95" s="10">
        <f t="shared" si="5"/>
        <v>347.1</v>
      </c>
      <c r="P95" s="9">
        <v>390</v>
      </c>
      <c r="Q95" s="41">
        <f>P95*1.8-12</f>
        <v>690</v>
      </c>
    </row>
    <row r="96" spans="1:17" ht="15.75" customHeight="1">
      <c r="A96" s="65"/>
      <c r="B96" s="47"/>
      <c r="C96" s="47"/>
      <c r="D96" s="47"/>
      <c r="E96" s="47"/>
      <c r="F96" s="47"/>
      <c r="G96" s="48"/>
      <c r="H96" s="18" t="s">
        <v>16</v>
      </c>
      <c r="I96" s="18">
        <v>5</v>
      </c>
      <c r="J96" s="18" t="s">
        <v>17</v>
      </c>
      <c r="K96" s="28"/>
      <c r="L96" s="23">
        <v>11</v>
      </c>
      <c r="M96" s="8">
        <f t="shared" si="3"/>
        <v>1347.457627118644</v>
      </c>
      <c r="N96" s="9">
        <f t="shared" si="4"/>
        <v>1199.2372881355932</v>
      </c>
      <c r="O96" s="10">
        <f t="shared" si="5"/>
        <v>1415.1</v>
      </c>
      <c r="P96" s="9">
        <v>1590</v>
      </c>
      <c r="Q96" s="41">
        <f>P96*1.8+28</f>
        <v>2890</v>
      </c>
    </row>
    <row r="97" spans="1:17" ht="15.75" customHeight="1">
      <c r="A97" s="65"/>
      <c r="B97" s="47"/>
      <c r="C97" s="47"/>
      <c r="D97" s="47"/>
      <c r="E97" s="47"/>
      <c r="F97" s="47"/>
      <c r="G97" s="48"/>
      <c r="H97" s="18" t="s">
        <v>16</v>
      </c>
      <c r="I97" s="18">
        <v>20</v>
      </c>
      <c r="J97" s="18" t="s">
        <v>17</v>
      </c>
      <c r="K97" s="28"/>
      <c r="L97" s="23">
        <v>11</v>
      </c>
      <c r="M97" s="8">
        <f t="shared" si="3"/>
        <v>5076.2711864406783</v>
      </c>
      <c r="N97" s="9">
        <f t="shared" si="4"/>
        <v>4517.8813559322034</v>
      </c>
      <c r="O97" s="10">
        <f t="shared" si="5"/>
        <v>5331.0999999999995</v>
      </c>
      <c r="P97" s="9">
        <v>5990</v>
      </c>
      <c r="Q97" s="41">
        <f>P97*1.8+8</f>
        <v>10790</v>
      </c>
    </row>
    <row r="98" spans="1:17" ht="15.75" customHeight="1">
      <c r="A98" s="65"/>
      <c r="B98" s="1">
        <v>31</v>
      </c>
      <c r="C98" s="1" t="s">
        <v>13</v>
      </c>
      <c r="D98" s="1" t="s">
        <v>136</v>
      </c>
      <c r="E98" s="1" t="s">
        <v>59</v>
      </c>
      <c r="F98" s="1" t="s">
        <v>79</v>
      </c>
      <c r="G98" s="2">
        <v>39095000</v>
      </c>
      <c r="H98" s="18" t="s">
        <v>24</v>
      </c>
      <c r="I98" s="18">
        <v>1</v>
      </c>
      <c r="J98" s="18" t="s">
        <v>17</v>
      </c>
      <c r="K98" s="28"/>
      <c r="L98" s="23">
        <v>11</v>
      </c>
      <c r="M98" s="8">
        <f t="shared" si="3"/>
        <v>669.49152542372883</v>
      </c>
      <c r="N98" s="9">
        <f t="shared" si="4"/>
        <v>595.84745762711862</v>
      </c>
      <c r="O98" s="10">
        <f t="shared" si="5"/>
        <v>703.09999999999991</v>
      </c>
      <c r="P98" s="9">
        <v>790</v>
      </c>
      <c r="Q98" s="41">
        <f>P98*1.8-32</f>
        <v>1390</v>
      </c>
    </row>
    <row r="99" spans="1:17" ht="15.75" customHeight="1">
      <c r="A99" s="65"/>
      <c r="B99" s="59">
        <v>32</v>
      </c>
      <c r="C99" s="59" t="s">
        <v>13</v>
      </c>
      <c r="D99" s="59" t="s">
        <v>136</v>
      </c>
      <c r="E99" s="59" t="s">
        <v>59</v>
      </c>
      <c r="F99" s="59" t="s">
        <v>120</v>
      </c>
      <c r="G99" s="49">
        <v>39073090</v>
      </c>
      <c r="H99" s="21" t="s">
        <v>24</v>
      </c>
      <c r="I99" s="21">
        <v>3</v>
      </c>
      <c r="J99" s="5" t="s">
        <v>17</v>
      </c>
      <c r="K99" s="22"/>
      <c r="L99" s="7">
        <v>15</v>
      </c>
      <c r="M99" s="8">
        <f t="shared" si="3"/>
        <v>1855.9322033898306</v>
      </c>
      <c r="N99" s="9">
        <f t="shared" si="4"/>
        <v>1577.5423728813562</v>
      </c>
      <c r="O99" s="10">
        <f t="shared" si="5"/>
        <v>1861.5000000000002</v>
      </c>
      <c r="P99" s="9">
        <v>2190</v>
      </c>
      <c r="Q99" s="41">
        <f>P99*1.8+48</f>
        <v>3990</v>
      </c>
    </row>
    <row r="100" spans="1:17" ht="15.75" customHeight="1">
      <c r="A100" s="65"/>
      <c r="B100" s="60"/>
      <c r="C100" s="60"/>
      <c r="D100" s="60"/>
      <c r="E100" s="60"/>
      <c r="F100" s="60"/>
      <c r="G100" s="50"/>
      <c r="H100" s="21" t="s">
        <v>24</v>
      </c>
      <c r="I100" s="21">
        <v>15</v>
      </c>
      <c r="J100" s="5" t="s">
        <v>17</v>
      </c>
      <c r="K100" s="22"/>
      <c r="L100" s="7">
        <v>15</v>
      </c>
      <c r="M100" s="8">
        <f t="shared" si="3"/>
        <v>8889.8305084745771</v>
      </c>
      <c r="N100" s="9">
        <f t="shared" si="4"/>
        <v>7556.3559322033907</v>
      </c>
      <c r="O100" s="10">
        <f t="shared" si="5"/>
        <v>8916.5</v>
      </c>
      <c r="P100" s="9">
        <v>10490</v>
      </c>
      <c r="Q100" s="41">
        <f>P100*1.8+8</f>
        <v>18890</v>
      </c>
    </row>
    <row r="101" spans="1:17" ht="15.75" customHeight="1">
      <c r="A101" s="65"/>
      <c r="B101" s="61"/>
      <c r="C101" s="61"/>
      <c r="D101" s="61"/>
      <c r="E101" s="61"/>
      <c r="F101" s="61"/>
      <c r="G101" s="51"/>
      <c r="H101" s="21" t="s">
        <v>24</v>
      </c>
      <c r="I101" s="21">
        <v>30</v>
      </c>
      <c r="J101" s="5" t="s">
        <v>17</v>
      </c>
      <c r="K101" s="29" t="s">
        <v>53</v>
      </c>
      <c r="L101" s="23">
        <v>15</v>
      </c>
      <c r="M101" s="8">
        <f t="shared" si="3"/>
        <v>16940.677966101695</v>
      </c>
      <c r="N101" s="9">
        <f t="shared" si="4"/>
        <v>14399.576271186441</v>
      </c>
      <c r="O101" s="10">
        <f t="shared" si="5"/>
        <v>16991.5</v>
      </c>
      <c r="P101" s="9">
        <v>19990</v>
      </c>
      <c r="Q101" s="41">
        <f>P101*1.8+8</f>
        <v>35990</v>
      </c>
    </row>
    <row r="102" spans="1:17" ht="15.75">
      <c r="A102" s="65"/>
      <c r="B102" s="59">
        <v>33</v>
      </c>
      <c r="C102" s="47" t="s">
        <v>13</v>
      </c>
      <c r="D102" s="47" t="s">
        <v>51</v>
      </c>
      <c r="E102" s="47" t="s">
        <v>52</v>
      </c>
      <c r="F102" s="47" t="s">
        <v>137</v>
      </c>
      <c r="G102" s="48">
        <v>32099090</v>
      </c>
      <c r="H102" s="18" t="s">
        <v>41</v>
      </c>
      <c r="I102" s="18">
        <v>1</v>
      </c>
      <c r="J102" s="18" t="s">
        <v>17</v>
      </c>
      <c r="K102" s="29"/>
      <c r="L102" s="23">
        <v>11</v>
      </c>
      <c r="M102" s="8">
        <f t="shared" si="3"/>
        <v>1347.457627118644</v>
      </c>
      <c r="N102" s="9">
        <f t="shared" si="4"/>
        <v>1199.2372881355932</v>
      </c>
      <c r="O102" s="10">
        <f t="shared" si="5"/>
        <v>1415.1</v>
      </c>
      <c r="P102" s="9">
        <v>1590</v>
      </c>
      <c r="Q102" s="41">
        <f>P102*1.8+28</f>
        <v>2890</v>
      </c>
    </row>
    <row r="103" spans="1:17" ht="15.75">
      <c r="A103" s="65"/>
      <c r="B103" s="60"/>
      <c r="C103" s="47"/>
      <c r="D103" s="47"/>
      <c r="E103" s="47"/>
      <c r="F103" s="47"/>
      <c r="G103" s="48"/>
      <c r="H103" s="18" t="s">
        <v>41</v>
      </c>
      <c r="I103" s="18">
        <v>10</v>
      </c>
      <c r="J103" s="18" t="s">
        <v>17</v>
      </c>
      <c r="K103" s="29"/>
      <c r="L103" s="23">
        <v>11</v>
      </c>
      <c r="M103" s="8">
        <f t="shared" si="3"/>
        <v>12703.389830508475</v>
      </c>
      <c r="N103" s="9">
        <f t="shared" si="4"/>
        <v>11306.016949152543</v>
      </c>
      <c r="O103" s="10">
        <f t="shared" si="5"/>
        <v>13341.1</v>
      </c>
      <c r="P103" s="9">
        <v>14990</v>
      </c>
      <c r="Q103" s="41">
        <f>P103*1.8+8</f>
        <v>26990</v>
      </c>
    </row>
    <row r="104" spans="1:17" ht="15.75">
      <c r="A104" s="65"/>
      <c r="B104" s="61"/>
      <c r="C104" s="47"/>
      <c r="D104" s="47"/>
      <c r="E104" s="47"/>
      <c r="F104" s="47"/>
      <c r="G104" s="48"/>
      <c r="H104" s="18" t="s">
        <v>41</v>
      </c>
      <c r="I104" s="18">
        <v>20</v>
      </c>
      <c r="J104" s="18" t="s">
        <v>17</v>
      </c>
      <c r="K104" s="29"/>
      <c r="L104" s="23">
        <v>11</v>
      </c>
      <c r="M104" s="8">
        <f t="shared" si="3"/>
        <v>24567.796610169491</v>
      </c>
      <c r="N104" s="9">
        <f t="shared" si="4"/>
        <v>21865.338983050846</v>
      </c>
      <c r="O104" s="10">
        <f t="shared" si="5"/>
        <v>25801.1</v>
      </c>
      <c r="P104" s="11">
        <v>28990</v>
      </c>
      <c r="Q104" s="12">
        <f>P104*1.8+8</f>
        <v>52190</v>
      </c>
    </row>
    <row r="105" spans="1:17" ht="15.75" customHeight="1">
      <c r="A105" s="65"/>
      <c r="B105" s="47">
        <v>34</v>
      </c>
      <c r="C105" s="47" t="s">
        <v>13</v>
      </c>
      <c r="D105" s="47" t="s">
        <v>47</v>
      </c>
      <c r="E105" s="47" t="s">
        <v>54</v>
      </c>
      <c r="F105" s="47"/>
      <c r="G105" s="48">
        <v>32149090</v>
      </c>
      <c r="H105" s="21" t="s">
        <v>24</v>
      </c>
      <c r="I105" s="21">
        <v>3</v>
      </c>
      <c r="J105" s="5" t="s">
        <v>17</v>
      </c>
      <c r="K105" s="22"/>
      <c r="L105" s="23">
        <v>11</v>
      </c>
      <c r="M105" s="8">
        <f t="shared" si="3"/>
        <v>330.50847457627123</v>
      </c>
      <c r="N105" s="9">
        <f t="shared" si="4"/>
        <v>294.15254237288138</v>
      </c>
      <c r="O105" s="10">
        <f t="shared" si="5"/>
        <v>347.1</v>
      </c>
      <c r="P105" s="11">
        <v>390</v>
      </c>
      <c r="Q105" s="12">
        <f>P105*1.8-12</f>
        <v>690</v>
      </c>
    </row>
    <row r="106" spans="1:17" ht="15.75" customHeight="1">
      <c r="A106" s="65"/>
      <c r="B106" s="47"/>
      <c r="C106" s="47"/>
      <c r="D106" s="47"/>
      <c r="E106" s="47"/>
      <c r="F106" s="47"/>
      <c r="G106" s="48"/>
      <c r="H106" s="21" t="s">
        <v>24</v>
      </c>
      <c r="I106" s="21">
        <v>15</v>
      </c>
      <c r="J106" s="5" t="s">
        <v>17</v>
      </c>
      <c r="K106" s="22"/>
      <c r="L106" s="23">
        <v>11</v>
      </c>
      <c r="M106" s="8">
        <f t="shared" si="3"/>
        <v>1432.2033898305085</v>
      </c>
      <c r="N106" s="9">
        <f t="shared" si="4"/>
        <v>1274.6610169491526</v>
      </c>
      <c r="O106" s="10">
        <f t="shared" si="5"/>
        <v>1504.1</v>
      </c>
      <c r="P106" s="11">
        <v>1690</v>
      </c>
      <c r="Q106" s="12">
        <f>P106*1.8-52</f>
        <v>2990</v>
      </c>
    </row>
    <row r="107" spans="1:17" ht="15.75" customHeight="1">
      <c r="A107" s="65"/>
      <c r="B107" s="1">
        <v>35</v>
      </c>
      <c r="C107" s="1" t="s">
        <v>13</v>
      </c>
      <c r="D107" s="1" t="s">
        <v>47</v>
      </c>
      <c r="E107" s="1" t="s">
        <v>54</v>
      </c>
      <c r="F107" s="1" t="s">
        <v>19</v>
      </c>
      <c r="G107" s="2">
        <v>32149090</v>
      </c>
      <c r="H107" s="21" t="s">
        <v>24</v>
      </c>
      <c r="I107" s="21">
        <v>15</v>
      </c>
      <c r="J107" s="5" t="s">
        <v>17</v>
      </c>
      <c r="K107" s="22"/>
      <c r="L107" s="23">
        <v>11</v>
      </c>
      <c r="M107" s="8">
        <f t="shared" si="3"/>
        <v>4483.0508474576272</v>
      </c>
      <c r="N107" s="9">
        <f t="shared" si="4"/>
        <v>3989.9152542372881</v>
      </c>
      <c r="O107" s="10">
        <f t="shared" si="5"/>
        <v>4708.0999999999995</v>
      </c>
      <c r="P107" s="11">
        <v>5290</v>
      </c>
      <c r="Q107" s="12">
        <f>P107*1.8-32</f>
        <v>9490</v>
      </c>
    </row>
    <row r="108" spans="1:17" ht="15.75" customHeight="1">
      <c r="A108" s="65"/>
      <c r="B108" s="47">
        <v>36</v>
      </c>
      <c r="C108" s="47" t="s">
        <v>13</v>
      </c>
      <c r="D108" s="47" t="s">
        <v>47</v>
      </c>
      <c r="E108" s="47" t="s">
        <v>52</v>
      </c>
      <c r="F108" s="47" t="s">
        <v>23</v>
      </c>
      <c r="G108" s="48">
        <v>32149090</v>
      </c>
      <c r="H108" s="21" t="s">
        <v>16</v>
      </c>
      <c r="I108" s="21">
        <v>1</v>
      </c>
      <c r="J108" s="5" t="s">
        <v>17</v>
      </c>
      <c r="K108" s="22"/>
      <c r="L108" s="23">
        <v>11</v>
      </c>
      <c r="M108" s="8">
        <f t="shared" si="3"/>
        <v>330.50847457627123</v>
      </c>
      <c r="N108" s="9">
        <f t="shared" si="4"/>
        <v>294.15254237288138</v>
      </c>
      <c r="O108" s="10">
        <f t="shared" si="5"/>
        <v>347.1</v>
      </c>
      <c r="P108" s="11">
        <v>390</v>
      </c>
      <c r="Q108" s="12">
        <f>P108*1.8-12</f>
        <v>690</v>
      </c>
    </row>
    <row r="109" spans="1:17" ht="15.75" customHeight="1">
      <c r="A109" s="65"/>
      <c r="B109" s="47"/>
      <c r="C109" s="47"/>
      <c r="D109" s="47"/>
      <c r="E109" s="47"/>
      <c r="F109" s="47"/>
      <c r="G109" s="48"/>
      <c r="H109" s="21" t="s">
        <v>16</v>
      </c>
      <c r="I109" s="21">
        <v>5</v>
      </c>
      <c r="J109" s="5" t="s">
        <v>17</v>
      </c>
      <c r="K109" s="22"/>
      <c r="L109" s="23">
        <v>11</v>
      </c>
      <c r="M109" s="8">
        <f t="shared" si="3"/>
        <v>1347.457627118644</v>
      </c>
      <c r="N109" s="9">
        <f t="shared" si="4"/>
        <v>1199.2372881355932</v>
      </c>
      <c r="O109" s="10">
        <f t="shared" si="5"/>
        <v>1415.1</v>
      </c>
      <c r="P109" s="11">
        <v>1590</v>
      </c>
      <c r="Q109" s="12">
        <f>P109*1.8+28</f>
        <v>2890</v>
      </c>
    </row>
    <row r="110" spans="1:17" ht="15.75" customHeight="1">
      <c r="A110" s="65"/>
      <c r="B110" s="47"/>
      <c r="C110" s="47"/>
      <c r="D110" s="47"/>
      <c r="E110" s="47"/>
      <c r="F110" s="47"/>
      <c r="G110" s="48"/>
      <c r="H110" s="21" t="s">
        <v>16</v>
      </c>
      <c r="I110" s="21">
        <v>20</v>
      </c>
      <c r="J110" s="5" t="s">
        <v>17</v>
      </c>
      <c r="K110" s="22"/>
      <c r="L110" s="23">
        <v>11</v>
      </c>
      <c r="M110" s="8">
        <f t="shared" si="3"/>
        <v>5076.2711864406783</v>
      </c>
      <c r="N110" s="9">
        <f t="shared" si="4"/>
        <v>4517.8813559322034</v>
      </c>
      <c r="O110" s="10">
        <f t="shared" si="5"/>
        <v>5331.0999999999995</v>
      </c>
      <c r="P110" s="11">
        <v>5990</v>
      </c>
      <c r="Q110" s="12">
        <f>P110*1.8+8</f>
        <v>10790</v>
      </c>
    </row>
    <row r="111" spans="1:17" ht="15.75" customHeight="1">
      <c r="A111" s="65"/>
      <c r="B111" s="47">
        <v>37</v>
      </c>
      <c r="C111" s="47" t="s">
        <v>13</v>
      </c>
      <c r="D111" s="47" t="s">
        <v>55</v>
      </c>
      <c r="E111" s="47" t="s">
        <v>56</v>
      </c>
      <c r="F111" s="47"/>
      <c r="G111" s="48">
        <v>28366000</v>
      </c>
      <c r="H111" s="21" t="s">
        <v>16</v>
      </c>
      <c r="I111" s="21">
        <v>1</v>
      </c>
      <c r="J111" s="5" t="s">
        <v>17</v>
      </c>
      <c r="K111" s="22"/>
      <c r="L111" s="23">
        <v>14</v>
      </c>
      <c r="M111" s="8">
        <f t="shared" si="3"/>
        <v>161.0169491525424</v>
      </c>
      <c r="N111" s="9">
        <f t="shared" si="4"/>
        <v>138.47457627118646</v>
      </c>
      <c r="O111" s="10">
        <f t="shared" si="5"/>
        <v>163.4</v>
      </c>
      <c r="P111" s="11">
        <v>190</v>
      </c>
      <c r="Q111" s="12">
        <f>P111*1.8-52</f>
        <v>290</v>
      </c>
    </row>
    <row r="112" spans="1:17" ht="15.75" customHeight="1">
      <c r="A112" s="65"/>
      <c r="B112" s="47"/>
      <c r="C112" s="47"/>
      <c r="D112" s="47"/>
      <c r="E112" s="47"/>
      <c r="F112" s="47"/>
      <c r="G112" s="48"/>
      <c r="H112" s="21" t="s">
        <v>16</v>
      </c>
      <c r="I112" s="21">
        <v>5</v>
      </c>
      <c r="J112" s="5" t="s">
        <v>17</v>
      </c>
      <c r="K112" s="22"/>
      <c r="L112" s="23">
        <v>14</v>
      </c>
      <c r="M112" s="8">
        <f t="shared" si="3"/>
        <v>754.2372881355933</v>
      </c>
      <c r="N112" s="9">
        <f t="shared" si="4"/>
        <v>648.64406779661022</v>
      </c>
      <c r="O112" s="10">
        <f t="shared" si="5"/>
        <v>765.4</v>
      </c>
      <c r="P112" s="11">
        <v>890</v>
      </c>
      <c r="Q112" s="12">
        <f>P112*1.8-12</f>
        <v>1590</v>
      </c>
    </row>
    <row r="113" spans="1:17" ht="15.75" customHeight="1">
      <c r="A113" s="65"/>
      <c r="B113" s="47"/>
      <c r="C113" s="47"/>
      <c r="D113" s="47"/>
      <c r="E113" s="47"/>
      <c r="F113" s="47"/>
      <c r="G113" s="48"/>
      <c r="H113" s="21" t="s">
        <v>16</v>
      </c>
      <c r="I113" s="21">
        <v>20</v>
      </c>
      <c r="J113" s="5" t="s">
        <v>17</v>
      </c>
      <c r="K113" s="22"/>
      <c r="L113" s="23">
        <v>14</v>
      </c>
      <c r="M113" s="8">
        <f t="shared" si="3"/>
        <v>2957.6271186440681</v>
      </c>
      <c r="N113" s="9">
        <f t="shared" si="4"/>
        <v>2543.5593220338988</v>
      </c>
      <c r="O113" s="10">
        <f t="shared" si="5"/>
        <v>3001.4000000000005</v>
      </c>
      <c r="P113" s="11">
        <v>3490</v>
      </c>
      <c r="Q113" s="12">
        <f>P113*1.8+8</f>
        <v>6290</v>
      </c>
    </row>
    <row r="114" spans="1:17" ht="15.75" customHeight="1">
      <c r="A114" s="65"/>
      <c r="B114" s="47">
        <v>38</v>
      </c>
      <c r="C114" s="47" t="s">
        <v>13</v>
      </c>
      <c r="D114" s="47" t="s">
        <v>55</v>
      </c>
      <c r="E114" s="47" t="s">
        <v>56</v>
      </c>
      <c r="F114" s="47" t="s">
        <v>57</v>
      </c>
      <c r="G114" s="48">
        <v>28366000</v>
      </c>
      <c r="H114" s="21" t="s">
        <v>16</v>
      </c>
      <c r="I114" s="21">
        <v>1</v>
      </c>
      <c r="J114" s="5" t="s">
        <v>17</v>
      </c>
      <c r="K114" s="22"/>
      <c r="L114" s="23">
        <v>11</v>
      </c>
      <c r="M114" s="8">
        <f t="shared" si="3"/>
        <v>415.25423728813564</v>
      </c>
      <c r="N114" s="9">
        <f t="shared" si="4"/>
        <v>369.57627118644075</v>
      </c>
      <c r="O114" s="10">
        <f t="shared" si="5"/>
        <v>436.10000000000008</v>
      </c>
      <c r="P114" s="11">
        <v>490</v>
      </c>
      <c r="Q114" s="12">
        <f>P114*1.8+8</f>
        <v>890</v>
      </c>
    </row>
    <row r="115" spans="1:17" ht="15.75" customHeight="1">
      <c r="A115" s="65"/>
      <c r="B115" s="47"/>
      <c r="C115" s="47"/>
      <c r="D115" s="47"/>
      <c r="E115" s="47"/>
      <c r="F115" s="47"/>
      <c r="G115" s="48"/>
      <c r="H115" s="21" t="s">
        <v>16</v>
      </c>
      <c r="I115" s="21">
        <v>5</v>
      </c>
      <c r="J115" s="5" t="s">
        <v>17</v>
      </c>
      <c r="K115" s="22"/>
      <c r="L115" s="23">
        <v>11</v>
      </c>
      <c r="M115" s="8">
        <f t="shared" si="3"/>
        <v>1771.1864406779662</v>
      </c>
      <c r="N115" s="9">
        <f t="shared" si="4"/>
        <v>1576.3559322033898</v>
      </c>
      <c r="O115" s="10">
        <f t="shared" si="5"/>
        <v>1860.1</v>
      </c>
      <c r="P115" s="11">
        <v>2090</v>
      </c>
      <c r="Q115" s="12">
        <f>P115*1.8+28</f>
        <v>3790</v>
      </c>
    </row>
    <row r="116" spans="1:17" ht="15.75" customHeight="1">
      <c r="A116" s="65"/>
      <c r="B116" s="47"/>
      <c r="C116" s="47"/>
      <c r="D116" s="47"/>
      <c r="E116" s="47"/>
      <c r="F116" s="47"/>
      <c r="G116" s="48"/>
      <c r="H116" s="21" t="s">
        <v>16</v>
      </c>
      <c r="I116" s="21">
        <v>20</v>
      </c>
      <c r="J116" s="5" t="s">
        <v>17</v>
      </c>
      <c r="K116" s="22"/>
      <c r="L116" s="23">
        <v>11</v>
      </c>
      <c r="M116" s="8">
        <f t="shared" si="3"/>
        <v>6771.1864406779669</v>
      </c>
      <c r="N116" s="9">
        <f t="shared" si="4"/>
        <v>6026.3559322033907</v>
      </c>
      <c r="O116" s="10">
        <f t="shared" si="5"/>
        <v>7111.1</v>
      </c>
      <c r="P116" s="11">
        <v>7990</v>
      </c>
      <c r="Q116" s="12">
        <f>P116*1.8+8</f>
        <v>14390</v>
      </c>
    </row>
    <row r="117" spans="1:17" ht="15.75" customHeight="1">
      <c r="A117" s="65"/>
      <c r="B117" s="47">
        <v>39</v>
      </c>
      <c r="C117" s="47" t="s">
        <v>13</v>
      </c>
      <c r="D117" s="47" t="s">
        <v>51</v>
      </c>
      <c r="E117" s="47" t="s">
        <v>15</v>
      </c>
      <c r="F117" s="47" t="s">
        <v>58</v>
      </c>
      <c r="G117" s="48">
        <v>3209090</v>
      </c>
      <c r="H117" s="21" t="s">
        <v>16</v>
      </c>
      <c r="I117" s="21">
        <v>1</v>
      </c>
      <c r="J117" s="5" t="s">
        <v>17</v>
      </c>
      <c r="K117" s="22"/>
      <c r="L117" s="7">
        <v>11</v>
      </c>
      <c r="M117" s="8">
        <f t="shared" si="3"/>
        <v>584.74576271186447</v>
      </c>
      <c r="N117" s="9">
        <f t="shared" si="4"/>
        <v>520.42372881355936</v>
      </c>
      <c r="O117" s="10">
        <f t="shared" si="5"/>
        <v>614.1</v>
      </c>
      <c r="P117" s="11">
        <v>690</v>
      </c>
      <c r="Q117" s="12">
        <f>P117*1.8-52</f>
        <v>1190</v>
      </c>
    </row>
    <row r="118" spans="1:17" ht="15.75" customHeight="1">
      <c r="A118" s="65"/>
      <c r="B118" s="47"/>
      <c r="C118" s="47"/>
      <c r="D118" s="47"/>
      <c r="E118" s="47"/>
      <c r="F118" s="47"/>
      <c r="G118" s="48"/>
      <c r="H118" s="21" t="s">
        <v>16</v>
      </c>
      <c r="I118" s="21">
        <v>5</v>
      </c>
      <c r="J118" s="5" t="s">
        <v>17</v>
      </c>
      <c r="K118" s="22"/>
      <c r="L118" s="7">
        <v>11</v>
      </c>
      <c r="M118" s="8">
        <f t="shared" si="3"/>
        <v>2872.8813559322034</v>
      </c>
      <c r="N118" s="9">
        <f t="shared" si="4"/>
        <v>2556.8644067796608</v>
      </c>
      <c r="O118" s="10">
        <f t="shared" si="5"/>
        <v>3017.0999999999995</v>
      </c>
      <c r="P118" s="11">
        <v>3390</v>
      </c>
      <c r="Q118" s="12">
        <f>P118*1.8-12</f>
        <v>6090</v>
      </c>
    </row>
    <row r="119" spans="1:17" ht="15.75" customHeight="1">
      <c r="A119" s="65"/>
      <c r="B119" s="47"/>
      <c r="C119" s="47"/>
      <c r="D119" s="47"/>
      <c r="E119" s="47"/>
      <c r="F119" s="47"/>
      <c r="G119" s="48"/>
      <c r="H119" s="21" t="s">
        <v>16</v>
      </c>
      <c r="I119" s="21">
        <v>20</v>
      </c>
      <c r="J119" s="5" t="s">
        <v>17</v>
      </c>
      <c r="K119" s="22"/>
      <c r="L119" s="7">
        <v>11</v>
      </c>
      <c r="M119" s="8">
        <f t="shared" si="3"/>
        <v>11008.474576271186</v>
      </c>
      <c r="N119" s="9">
        <f t="shared" si="4"/>
        <v>9797.5423728813566</v>
      </c>
      <c r="O119" s="10">
        <f t="shared" si="5"/>
        <v>11561.1</v>
      </c>
      <c r="P119" s="11">
        <v>12990</v>
      </c>
      <c r="Q119" s="12">
        <f>P119*1.8+8</f>
        <v>23390</v>
      </c>
    </row>
    <row r="120" spans="1:17" ht="15.75" customHeight="1">
      <c r="A120" s="65"/>
      <c r="B120" s="47">
        <v>40</v>
      </c>
      <c r="C120" s="47" t="s">
        <v>13</v>
      </c>
      <c r="D120" s="47" t="s">
        <v>47</v>
      </c>
      <c r="E120" s="47" t="s">
        <v>59</v>
      </c>
      <c r="F120" s="47" t="s">
        <v>60</v>
      </c>
      <c r="G120" s="48">
        <v>38249090</v>
      </c>
      <c r="H120" s="21" t="s">
        <v>16</v>
      </c>
      <c r="I120" s="21">
        <v>1</v>
      </c>
      <c r="J120" s="5" t="s">
        <v>17</v>
      </c>
      <c r="K120" s="22"/>
      <c r="L120" s="7">
        <v>11</v>
      </c>
      <c r="M120" s="8">
        <f t="shared" si="3"/>
        <v>245.76271186440678</v>
      </c>
      <c r="N120" s="9">
        <f t="shared" si="4"/>
        <v>218.72881355932202</v>
      </c>
      <c r="O120" s="10">
        <f t="shared" si="5"/>
        <v>258.09999999999997</v>
      </c>
      <c r="P120" s="11">
        <v>290</v>
      </c>
      <c r="Q120" s="12">
        <f>P120*1.8-32</f>
        <v>490</v>
      </c>
    </row>
    <row r="121" spans="1:17" ht="15.75" customHeight="1">
      <c r="A121" s="65"/>
      <c r="B121" s="47"/>
      <c r="C121" s="47"/>
      <c r="D121" s="47"/>
      <c r="E121" s="47"/>
      <c r="F121" s="47"/>
      <c r="G121" s="48"/>
      <c r="H121" s="21" t="s">
        <v>16</v>
      </c>
      <c r="I121" s="21">
        <v>5</v>
      </c>
      <c r="J121" s="5" t="s">
        <v>17</v>
      </c>
      <c r="K121" s="22"/>
      <c r="L121" s="7">
        <v>11</v>
      </c>
      <c r="M121" s="8">
        <f t="shared" si="3"/>
        <v>923.72881355932213</v>
      </c>
      <c r="N121" s="9">
        <f t="shared" si="4"/>
        <v>822.11864406779671</v>
      </c>
      <c r="O121" s="10">
        <f t="shared" si="5"/>
        <v>970.1</v>
      </c>
      <c r="P121" s="11">
        <v>1090</v>
      </c>
      <c r="Q121" s="12">
        <f>P121*1.8+28</f>
        <v>1990</v>
      </c>
    </row>
    <row r="122" spans="1:17" ht="15.75" customHeight="1">
      <c r="A122" s="65"/>
      <c r="B122" s="47"/>
      <c r="C122" s="47"/>
      <c r="D122" s="47"/>
      <c r="E122" s="47"/>
      <c r="F122" s="47"/>
      <c r="G122" s="48"/>
      <c r="H122" s="21" t="s">
        <v>16</v>
      </c>
      <c r="I122" s="21">
        <v>20</v>
      </c>
      <c r="J122" s="5" t="s">
        <v>17</v>
      </c>
      <c r="K122" s="22"/>
      <c r="L122" s="7">
        <v>11</v>
      </c>
      <c r="M122" s="8">
        <f t="shared" si="3"/>
        <v>3296.6101694915255</v>
      </c>
      <c r="N122" s="9">
        <f t="shared" si="4"/>
        <v>2933.9830508474579</v>
      </c>
      <c r="O122" s="10">
        <f t="shared" si="5"/>
        <v>3462.1</v>
      </c>
      <c r="P122" s="11">
        <v>3890</v>
      </c>
      <c r="Q122" s="12">
        <f>P122*1.8-12</f>
        <v>6990</v>
      </c>
    </row>
    <row r="123" spans="1:17" ht="15.75" customHeight="1">
      <c r="A123" s="65"/>
      <c r="B123" s="47">
        <v>41</v>
      </c>
      <c r="C123" s="47" t="s">
        <v>13</v>
      </c>
      <c r="D123" s="47" t="s">
        <v>47</v>
      </c>
      <c r="E123" s="47" t="s">
        <v>59</v>
      </c>
      <c r="F123" s="47" t="s">
        <v>61</v>
      </c>
      <c r="G123" s="48">
        <v>38249090</v>
      </c>
      <c r="H123" s="21" t="s">
        <v>16</v>
      </c>
      <c r="I123" s="21">
        <v>1</v>
      </c>
      <c r="J123" s="5" t="s">
        <v>17</v>
      </c>
      <c r="K123" s="22"/>
      <c r="L123" s="7">
        <v>11</v>
      </c>
      <c r="M123" s="8">
        <f t="shared" si="3"/>
        <v>245.76271186440678</v>
      </c>
      <c r="N123" s="9">
        <f t="shared" si="4"/>
        <v>218.72881355932202</v>
      </c>
      <c r="O123" s="10">
        <f t="shared" si="5"/>
        <v>258.09999999999997</v>
      </c>
      <c r="P123" s="11">
        <v>290</v>
      </c>
      <c r="Q123" s="12">
        <f>P123*1.8-32</f>
        <v>490</v>
      </c>
    </row>
    <row r="124" spans="1:17" ht="15.75" customHeight="1">
      <c r="A124" s="65"/>
      <c r="B124" s="47"/>
      <c r="C124" s="47"/>
      <c r="D124" s="47"/>
      <c r="E124" s="47"/>
      <c r="F124" s="47"/>
      <c r="G124" s="48"/>
      <c r="H124" s="21" t="s">
        <v>16</v>
      </c>
      <c r="I124" s="21">
        <v>5</v>
      </c>
      <c r="J124" s="5" t="s">
        <v>17</v>
      </c>
      <c r="K124" s="22"/>
      <c r="L124" s="7">
        <v>11</v>
      </c>
      <c r="M124" s="8">
        <f t="shared" si="3"/>
        <v>923.72881355932213</v>
      </c>
      <c r="N124" s="9">
        <f t="shared" si="4"/>
        <v>822.11864406779671</v>
      </c>
      <c r="O124" s="10">
        <f t="shared" si="5"/>
        <v>970.1</v>
      </c>
      <c r="P124" s="11">
        <v>1090</v>
      </c>
      <c r="Q124" s="12">
        <f>P124*1.8+28</f>
        <v>1990</v>
      </c>
    </row>
    <row r="125" spans="1:17" ht="15.75" customHeight="1">
      <c r="A125" s="65"/>
      <c r="B125" s="47"/>
      <c r="C125" s="47"/>
      <c r="D125" s="47"/>
      <c r="E125" s="47"/>
      <c r="F125" s="47"/>
      <c r="G125" s="48"/>
      <c r="H125" s="21" t="s">
        <v>16</v>
      </c>
      <c r="I125" s="21">
        <v>20</v>
      </c>
      <c r="J125" s="5" t="s">
        <v>17</v>
      </c>
      <c r="K125" s="22"/>
      <c r="L125" s="7">
        <v>11</v>
      </c>
      <c r="M125" s="8">
        <f t="shared" si="3"/>
        <v>3296.6101694915255</v>
      </c>
      <c r="N125" s="9">
        <f t="shared" si="4"/>
        <v>2933.9830508474579</v>
      </c>
      <c r="O125" s="10">
        <f t="shared" si="5"/>
        <v>3462.1</v>
      </c>
      <c r="P125" s="11">
        <v>3890</v>
      </c>
      <c r="Q125" s="12">
        <f>P125*1.8-12</f>
        <v>6990</v>
      </c>
    </row>
    <row r="126" spans="1:17" ht="15.75" customHeight="1">
      <c r="A126" s="65"/>
      <c r="B126" s="47">
        <v>42</v>
      </c>
      <c r="C126" s="47" t="s">
        <v>13</v>
      </c>
      <c r="D126" s="47" t="s">
        <v>62</v>
      </c>
      <c r="E126" s="47" t="s">
        <v>15</v>
      </c>
      <c r="F126" s="47" t="s">
        <v>63</v>
      </c>
      <c r="G126" s="48">
        <v>32100040</v>
      </c>
      <c r="H126" s="21" t="s">
        <v>16</v>
      </c>
      <c r="I126" s="21">
        <v>1</v>
      </c>
      <c r="J126" s="5" t="s">
        <v>17</v>
      </c>
      <c r="K126" s="22"/>
      <c r="L126" s="23">
        <v>11</v>
      </c>
      <c r="M126" s="8">
        <f t="shared" si="3"/>
        <v>295.76271186440681</v>
      </c>
      <c r="N126" s="9">
        <f t="shared" si="4"/>
        <v>263.22881355932208</v>
      </c>
      <c r="O126" s="10">
        <f t="shared" si="5"/>
        <v>310.61</v>
      </c>
      <c r="P126" s="11">
        <v>349</v>
      </c>
      <c r="Q126" s="12">
        <f>P126*1.8-38.2</f>
        <v>590</v>
      </c>
    </row>
    <row r="127" spans="1:17" ht="15.75" customHeight="1">
      <c r="A127" s="65"/>
      <c r="B127" s="47"/>
      <c r="C127" s="47"/>
      <c r="D127" s="47"/>
      <c r="E127" s="47"/>
      <c r="F127" s="47"/>
      <c r="G127" s="48"/>
      <c r="H127" s="21" t="s">
        <v>16</v>
      </c>
      <c r="I127" s="21">
        <v>5</v>
      </c>
      <c r="J127" s="5" t="s">
        <v>17</v>
      </c>
      <c r="K127" s="22"/>
      <c r="L127" s="23">
        <v>11</v>
      </c>
      <c r="M127" s="8">
        <f t="shared" si="3"/>
        <v>1262.7118644067798</v>
      </c>
      <c r="N127" s="9">
        <f t="shared" si="4"/>
        <v>1123.8135593220341</v>
      </c>
      <c r="O127" s="10">
        <f t="shared" si="5"/>
        <v>1326.1000000000001</v>
      </c>
      <c r="P127" s="11">
        <v>1490</v>
      </c>
      <c r="Q127" s="12">
        <f>P127*1.8+8</f>
        <v>2690</v>
      </c>
    </row>
    <row r="128" spans="1:17" ht="15.75" customHeight="1">
      <c r="A128" s="65"/>
      <c r="B128" s="47"/>
      <c r="C128" s="47"/>
      <c r="D128" s="47"/>
      <c r="E128" s="47"/>
      <c r="F128" s="47"/>
      <c r="G128" s="48"/>
      <c r="H128" s="21" t="s">
        <v>16</v>
      </c>
      <c r="I128" s="21">
        <v>20</v>
      </c>
      <c r="J128" s="5" t="s">
        <v>17</v>
      </c>
      <c r="K128" s="22"/>
      <c r="L128" s="23">
        <v>11</v>
      </c>
      <c r="M128" s="8">
        <f t="shared" si="3"/>
        <v>4652.5423728813557</v>
      </c>
      <c r="N128" s="9">
        <f t="shared" si="4"/>
        <v>4140.7627118644068</v>
      </c>
      <c r="O128" s="10">
        <f t="shared" si="5"/>
        <v>4886.0999999999995</v>
      </c>
      <c r="P128" s="11">
        <v>5490</v>
      </c>
      <c r="Q128" s="12">
        <f>P128*1.8+8</f>
        <v>9890</v>
      </c>
    </row>
    <row r="129" spans="1:17" ht="15.75" customHeight="1">
      <c r="A129" s="56" t="s">
        <v>138</v>
      </c>
      <c r="B129" s="59">
        <v>43</v>
      </c>
      <c r="C129" s="47" t="s">
        <v>13</v>
      </c>
      <c r="D129" s="47" t="s">
        <v>55</v>
      </c>
      <c r="E129" s="47" t="s">
        <v>15</v>
      </c>
      <c r="F129" s="47" t="s">
        <v>139</v>
      </c>
      <c r="G129" s="48">
        <v>28366000</v>
      </c>
      <c r="H129" s="18" t="s">
        <v>16</v>
      </c>
      <c r="I129" s="18">
        <v>1</v>
      </c>
      <c r="J129" s="18" t="s">
        <v>17</v>
      </c>
      <c r="K129" s="22"/>
      <c r="L129" s="23">
        <v>11</v>
      </c>
      <c r="M129" s="8">
        <f t="shared" si="3"/>
        <v>0</v>
      </c>
      <c r="N129" s="9">
        <f t="shared" si="4"/>
        <v>0</v>
      </c>
      <c r="O129" s="10">
        <f t="shared" si="5"/>
        <v>0</v>
      </c>
      <c r="P129" s="11">
        <v>0</v>
      </c>
      <c r="Q129" s="12">
        <f t="shared" ref="Q129:Q131" si="6">P129*1.8+8</f>
        <v>8</v>
      </c>
    </row>
    <row r="130" spans="1:17" ht="15.75" customHeight="1">
      <c r="A130" s="57"/>
      <c r="B130" s="60"/>
      <c r="C130" s="47"/>
      <c r="D130" s="47"/>
      <c r="E130" s="47"/>
      <c r="F130" s="47"/>
      <c r="G130" s="48"/>
      <c r="H130" s="18" t="s">
        <v>16</v>
      </c>
      <c r="I130" s="18">
        <v>5</v>
      </c>
      <c r="J130" s="18" t="s">
        <v>17</v>
      </c>
      <c r="K130" s="22"/>
      <c r="L130" s="23">
        <v>11</v>
      </c>
      <c r="M130" s="8">
        <f t="shared" si="3"/>
        <v>0</v>
      </c>
      <c r="N130" s="9">
        <f t="shared" si="4"/>
        <v>0</v>
      </c>
      <c r="O130" s="10">
        <f t="shared" si="5"/>
        <v>0</v>
      </c>
      <c r="P130" s="11">
        <v>0</v>
      </c>
      <c r="Q130" s="12">
        <f t="shared" si="6"/>
        <v>8</v>
      </c>
    </row>
    <row r="131" spans="1:17" ht="15.75" customHeight="1">
      <c r="A131" s="58"/>
      <c r="B131" s="61"/>
      <c r="C131" s="47"/>
      <c r="D131" s="47"/>
      <c r="E131" s="47"/>
      <c r="F131" s="47"/>
      <c r="G131" s="48"/>
      <c r="H131" s="18" t="s">
        <v>16</v>
      </c>
      <c r="I131" s="18">
        <v>20</v>
      </c>
      <c r="J131" s="18" t="s">
        <v>17</v>
      </c>
      <c r="K131" s="22"/>
      <c r="L131" s="23">
        <v>11</v>
      </c>
      <c r="M131" s="8">
        <f t="shared" si="3"/>
        <v>0</v>
      </c>
      <c r="N131" s="9">
        <f t="shared" si="4"/>
        <v>0</v>
      </c>
      <c r="O131" s="10">
        <f t="shared" si="5"/>
        <v>0</v>
      </c>
      <c r="P131" s="11">
        <v>0</v>
      </c>
      <c r="Q131" s="12">
        <f t="shared" si="6"/>
        <v>8</v>
      </c>
    </row>
    <row r="132" spans="1:17" ht="15.75" customHeight="1">
      <c r="A132" s="62" t="s">
        <v>64</v>
      </c>
      <c r="B132" s="47">
        <v>44</v>
      </c>
      <c r="C132" s="47" t="s">
        <v>13</v>
      </c>
      <c r="D132" s="47" t="s">
        <v>65</v>
      </c>
      <c r="E132" s="47" t="s">
        <v>66</v>
      </c>
      <c r="F132" s="26" t="s">
        <v>67</v>
      </c>
      <c r="G132" s="48">
        <v>32091090</v>
      </c>
      <c r="H132" s="21" t="s">
        <v>16</v>
      </c>
      <c r="I132" s="21">
        <v>1</v>
      </c>
      <c r="J132" s="5" t="s">
        <v>17</v>
      </c>
      <c r="K132" s="22"/>
      <c r="L132" s="23">
        <v>11</v>
      </c>
      <c r="M132" s="8">
        <f t="shared" si="3"/>
        <v>500</v>
      </c>
      <c r="N132" s="9">
        <f t="shared" si="4"/>
        <v>445</v>
      </c>
      <c r="O132" s="10">
        <f t="shared" si="5"/>
        <v>525.1</v>
      </c>
      <c r="P132" s="11">
        <v>590</v>
      </c>
      <c r="Q132" s="12">
        <f>P132*1.8+28</f>
        <v>1090</v>
      </c>
    </row>
    <row r="133" spans="1:17" ht="15.75" customHeight="1">
      <c r="A133" s="63"/>
      <c r="B133" s="47"/>
      <c r="C133" s="47"/>
      <c r="D133" s="47"/>
      <c r="E133" s="47"/>
      <c r="F133" s="26" t="s">
        <v>68</v>
      </c>
      <c r="G133" s="48"/>
      <c r="H133" s="21" t="s">
        <v>16</v>
      </c>
      <c r="I133" s="21">
        <v>3.6</v>
      </c>
      <c r="J133" s="5" t="s">
        <v>17</v>
      </c>
      <c r="K133" s="22"/>
      <c r="L133" s="23">
        <v>11</v>
      </c>
      <c r="M133" s="8">
        <f t="shared" si="3"/>
        <v>1601.6949152542375</v>
      </c>
      <c r="N133" s="9">
        <f t="shared" si="4"/>
        <v>1425.5084745762713</v>
      </c>
      <c r="O133" s="10">
        <f t="shared" si="5"/>
        <v>1682.1000000000001</v>
      </c>
      <c r="P133" s="11">
        <v>1890</v>
      </c>
      <c r="Q133" s="12">
        <f>P133*1.8-12</f>
        <v>3390</v>
      </c>
    </row>
    <row r="134" spans="1:17" ht="15.75" customHeight="1">
      <c r="A134" s="63"/>
      <c r="B134" s="47"/>
      <c r="C134" s="47"/>
      <c r="D134" s="47"/>
      <c r="E134" s="47"/>
      <c r="F134" s="26" t="s">
        <v>69</v>
      </c>
      <c r="G134" s="48"/>
      <c r="H134" s="21" t="s">
        <v>16</v>
      </c>
      <c r="I134" s="21">
        <v>9.1</v>
      </c>
      <c r="J134" s="5" t="s">
        <v>17</v>
      </c>
      <c r="K134" s="22"/>
      <c r="L134" s="23">
        <v>11</v>
      </c>
      <c r="M134" s="8">
        <f t="shared" si="3"/>
        <v>3720.3389830508477</v>
      </c>
      <c r="N134" s="9">
        <f t="shared" si="4"/>
        <v>3311.1016949152545</v>
      </c>
      <c r="O134" s="10">
        <f t="shared" si="5"/>
        <v>3907.1</v>
      </c>
      <c r="P134" s="11">
        <v>4390</v>
      </c>
      <c r="Q134" s="12">
        <f>P134*1.8-12</f>
        <v>7890</v>
      </c>
    </row>
    <row r="135" spans="1:17" ht="15.75" customHeight="1">
      <c r="A135" s="63"/>
      <c r="B135" s="47"/>
      <c r="C135" s="47"/>
      <c r="D135" s="47"/>
      <c r="E135" s="47"/>
      <c r="F135" s="26" t="s">
        <v>70</v>
      </c>
      <c r="G135" s="48"/>
      <c r="H135" s="21" t="s">
        <v>16</v>
      </c>
      <c r="I135" s="21">
        <v>18.2</v>
      </c>
      <c r="J135" s="5" t="s">
        <v>17</v>
      </c>
      <c r="K135" s="22"/>
      <c r="L135" s="23">
        <v>11</v>
      </c>
      <c r="M135" s="8">
        <f t="shared" si="3"/>
        <v>7618.6440677966102</v>
      </c>
      <c r="N135" s="9">
        <f t="shared" si="4"/>
        <v>6780.593220338983</v>
      </c>
      <c r="O135" s="10">
        <f t="shared" si="5"/>
        <v>8001.0999999999995</v>
      </c>
      <c r="P135" s="11">
        <v>8990</v>
      </c>
      <c r="Q135" s="12">
        <f>P135*1.8+8</f>
        <v>16190</v>
      </c>
    </row>
    <row r="136" spans="1:17" ht="15.75" customHeight="1">
      <c r="A136" s="63"/>
      <c r="B136" s="47">
        <v>45</v>
      </c>
      <c r="C136" s="47" t="s">
        <v>13</v>
      </c>
      <c r="D136" s="47" t="s">
        <v>65</v>
      </c>
      <c r="E136" s="47" t="s">
        <v>66</v>
      </c>
      <c r="F136" s="26" t="s">
        <v>71</v>
      </c>
      <c r="G136" s="48">
        <v>32091090</v>
      </c>
      <c r="H136" s="21" t="s">
        <v>16</v>
      </c>
      <c r="I136" s="21">
        <v>1</v>
      </c>
      <c r="J136" s="5" t="s">
        <v>17</v>
      </c>
      <c r="K136" s="22"/>
      <c r="L136" s="23">
        <v>11</v>
      </c>
      <c r="M136" s="8">
        <f t="shared" si="3"/>
        <v>500</v>
      </c>
      <c r="N136" s="9">
        <f t="shared" si="4"/>
        <v>445</v>
      </c>
      <c r="O136" s="10">
        <f t="shared" si="5"/>
        <v>525.1</v>
      </c>
      <c r="P136" s="11">
        <v>590</v>
      </c>
      <c r="Q136" s="12">
        <f>P136*1.8+28</f>
        <v>1090</v>
      </c>
    </row>
    <row r="137" spans="1:17" ht="15.75" customHeight="1">
      <c r="A137" s="63"/>
      <c r="B137" s="47"/>
      <c r="C137" s="47"/>
      <c r="D137" s="47"/>
      <c r="E137" s="47"/>
      <c r="F137" s="26" t="s">
        <v>68</v>
      </c>
      <c r="G137" s="48"/>
      <c r="H137" s="21" t="s">
        <v>16</v>
      </c>
      <c r="I137" s="21">
        <v>3.6</v>
      </c>
      <c r="J137" s="5" t="s">
        <v>17</v>
      </c>
      <c r="K137" s="22"/>
      <c r="L137" s="23">
        <v>11</v>
      </c>
      <c r="M137" s="8">
        <f t="shared" si="3"/>
        <v>1601.6949152542375</v>
      </c>
      <c r="N137" s="9">
        <f t="shared" si="4"/>
        <v>1425.5084745762713</v>
      </c>
      <c r="O137" s="10">
        <f t="shared" si="5"/>
        <v>1682.1000000000001</v>
      </c>
      <c r="P137" s="11">
        <v>1890</v>
      </c>
      <c r="Q137" s="12">
        <f>P137*1.8-12</f>
        <v>3390</v>
      </c>
    </row>
    <row r="138" spans="1:17" ht="15.75" customHeight="1">
      <c r="A138" s="63"/>
      <c r="B138" s="47"/>
      <c r="C138" s="47"/>
      <c r="D138" s="47"/>
      <c r="E138" s="47"/>
      <c r="F138" s="26" t="s">
        <v>69</v>
      </c>
      <c r="G138" s="48"/>
      <c r="H138" s="21" t="s">
        <v>16</v>
      </c>
      <c r="I138" s="21">
        <v>9.1</v>
      </c>
      <c r="J138" s="5" t="s">
        <v>17</v>
      </c>
      <c r="K138" s="22"/>
      <c r="L138" s="23">
        <v>11</v>
      </c>
      <c r="M138" s="8">
        <f t="shared" si="3"/>
        <v>3720.3389830508477</v>
      </c>
      <c r="N138" s="9">
        <f t="shared" si="4"/>
        <v>3311.1016949152545</v>
      </c>
      <c r="O138" s="10">
        <f t="shared" si="5"/>
        <v>3907.1</v>
      </c>
      <c r="P138" s="11">
        <v>4390</v>
      </c>
      <c r="Q138" s="12">
        <f>P138*1.8-12</f>
        <v>7890</v>
      </c>
    </row>
    <row r="139" spans="1:17" ht="15.75" customHeight="1">
      <c r="A139" s="63"/>
      <c r="B139" s="47"/>
      <c r="C139" s="47"/>
      <c r="D139" s="47"/>
      <c r="E139" s="47"/>
      <c r="F139" s="26" t="s">
        <v>70</v>
      </c>
      <c r="G139" s="48"/>
      <c r="H139" s="21" t="s">
        <v>16</v>
      </c>
      <c r="I139" s="21">
        <v>18.2</v>
      </c>
      <c r="J139" s="5" t="s">
        <v>17</v>
      </c>
      <c r="K139" s="22"/>
      <c r="L139" s="23">
        <v>11</v>
      </c>
      <c r="M139" s="8">
        <f t="shared" si="3"/>
        <v>7194.9152542372885</v>
      </c>
      <c r="N139" s="9">
        <f t="shared" si="4"/>
        <v>6403.4745762711864</v>
      </c>
      <c r="O139" s="10">
        <f t="shared" si="5"/>
        <v>7556.0999999999995</v>
      </c>
      <c r="P139" s="11">
        <v>8490</v>
      </c>
      <c r="Q139" s="12">
        <f>P139*1.8+8</f>
        <v>15290</v>
      </c>
    </row>
    <row r="140" spans="1:17" ht="15.75" customHeight="1">
      <c r="A140" s="63"/>
      <c r="B140" s="47">
        <v>46</v>
      </c>
      <c r="C140" s="47" t="s">
        <v>13</v>
      </c>
      <c r="D140" s="47" t="s">
        <v>72</v>
      </c>
      <c r="E140" s="47" t="s">
        <v>73</v>
      </c>
      <c r="F140" s="26" t="s">
        <v>71</v>
      </c>
      <c r="G140" s="48">
        <v>32091090</v>
      </c>
      <c r="H140" s="21" t="s">
        <v>16</v>
      </c>
      <c r="I140" s="21">
        <v>1</v>
      </c>
      <c r="J140" s="5" t="s">
        <v>17</v>
      </c>
      <c r="K140" s="22"/>
      <c r="L140" s="23">
        <v>11</v>
      </c>
      <c r="M140" s="8">
        <f t="shared" si="3"/>
        <v>330.50847457627123</v>
      </c>
      <c r="N140" s="9">
        <f t="shared" si="4"/>
        <v>294.15254237288138</v>
      </c>
      <c r="O140" s="10">
        <f t="shared" si="5"/>
        <v>347.1</v>
      </c>
      <c r="P140" s="9">
        <v>390</v>
      </c>
      <c r="Q140" s="12">
        <f>P140*1.8-12</f>
        <v>690</v>
      </c>
    </row>
    <row r="141" spans="1:17" ht="15.75" customHeight="1">
      <c r="A141" s="63"/>
      <c r="B141" s="47"/>
      <c r="C141" s="47"/>
      <c r="D141" s="47"/>
      <c r="E141" s="47"/>
      <c r="F141" s="26" t="s">
        <v>68</v>
      </c>
      <c r="G141" s="48"/>
      <c r="H141" s="21" t="s">
        <v>16</v>
      </c>
      <c r="I141" s="21">
        <v>3.6</v>
      </c>
      <c r="J141" s="5" t="s">
        <v>17</v>
      </c>
      <c r="K141" s="22"/>
      <c r="L141" s="23">
        <v>11</v>
      </c>
      <c r="M141" s="8">
        <f t="shared" si="3"/>
        <v>1177.9661016949153</v>
      </c>
      <c r="N141" s="9">
        <f t="shared" si="4"/>
        <v>1048.3898305084747</v>
      </c>
      <c r="O141" s="10">
        <f t="shared" si="5"/>
        <v>1237.1000000000001</v>
      </c>
      <c r="P141" s="9">
        <v>1390</v>
      </c>
      <c r="Q141" s="12">
        <f>P141*1.8-12</f>
        <v>2490</v>
      </c>
    </row>
    <row r="142" spans="1:17" ht="15.75" customHeight="1">
      <c r="A142" s="63"/>
      <c r="B142" s="47"/>
      <c r="C142" s="47"/>
      <c r="D142" s="47"/>
      <c r="E142" s="47"/>
      <c r="F142" s="26" t="s">
        <v>69</v>
      </c>
      <c r="G142" s="48"/>
      <c r="H142" s="21" t="s">
        <v>16</v>
      </c>
      <c r="I142" s="21">
        <v>9.1</v>
      </c>
      <c r="J142" s="5" t="s">
        <v>17</v>
      </c>
      <c r="K142" s="22"/>
      <c r="L142" s="23">
        <v>11</v>
      </c>
      <c r="M142" s="8">
        <f t="shared" si="3"/>
        <v>2872.8813559322034</v>
      </c>
      <c r="N142" s="9">
        <f t="shared" si="4"/>
        <v>2556.8644067796608</v>
      </c>
      <c r="O142" s="10">
        <f t="shared" si="5"/>
        <v>3017.0999999999995</v>
      </c>
      <c r="P142" s="9">
        <v>3390</v>
      </c>
      <c r="Q142" s="12">
        <f>P142*1.8-12</f>
        <v>6090</v>
      </c>
    </row>
    <row r="143" spans="1:17" ht="15.75" customHeight="1">
      <c r="A143" s="63"/>
      <c r="B143" s="47"/>
      <c r="C143" s="47"/>
      <c r="D143" s="47"/>
      <c r="E143" s="47"/>
      <c r="F143" s="26" t="s">
        <v>70</v>
      </c>
      <c r="G143" s="48"/>
      <c r="H143" s="21" t="s">
        <v>16</v>
      </c>
      <c r="I143" s="21">
        <v>18.2</v>
      </c>
      <c r="J143" s="5" t="s">
        <v>17</v>
      </c>
      <c r="K143" s="22"/>
      <c r="L143" s="23">
        <v>11</v>
      </c>
      <c r="M143" s="8">
        <f t="shared" si="3"/>
        <v>5500</v>
      </c>
      <c r="N143" s="9">
        <f t="shared" si="4"/>
        <v>4895</v>
      </c>
      <c r="O143" s="10">
        <f t="shared" si="5"/>
        <v>5776.0999999999995</v>
      </c>
      <c r="P143" s="9">
        <v>6490</v>
      </c>
      <c r="Q143" s="12">
        <f t="shared" ref="Q143" si="7">P143*1.8+8</f>
        <v>11690</v>
      </c>
    </row>
    <row r="144" spans="1:17" ht="15.75" customHeight="1">
      <c r="A144" s="63"/>
      <c r="B144" s="47">
        <v>47</v>
      </c>
      <c r="C144" s="47" t="s">
        <v>13</v>
      </c>
      <c r="D144" s="47" t="s">
        <v>72</v>
      </c>
      <c r="E144" s="47" t="s">
        <v>73</v>
      </c>
      <c r="F144" s="26" t="s">
        <v>74</v>
      </c>
      <c r="G144" s="48">
        <v>32091090</v>
      </c>
      <c r="H144" s="21" t="s">
        <v>16</v>
      </c>
      <c r="I144" s="21">
        <v>1</v>
      </c>
      <c r="J144" s="5" t="s">
        <v>17</v>
      </c>
      <c r="K144" s="22"/>
      <c r="L144" s="23">
        <v>11</v>
      </c>
      <c r="M144" s="8">
        <f t="shared" si="3"/>
        <v>330.50847457627123</v>
      </c>
      <c r="N144" s="9">
        <f t="shared" si="4"/>
        <v>294.15254237288138</v>
      </c>
      <c r="O144" s="10">
        <f t="shared" si="5"/>
        <v>347.1</v>
      </c>
      <c r="P144" s="9">
        <v>390</v>
      </c>
      <c r="Q144" s="12">
        <f>P144*1.8-12</f>
        <v>690</v>
      </c>
    </row>
    <row r="145" spans="1:17" ht="15.75" customHeight="1">
      <c r="A145" s="63"/>
      <c r="B145" s="47"/>
      <c r="C145" s="47"/>
      <c r="D145" s="47"/>
      <c r="E145" s="47"/>
      <c r="F145" s="26" t="s">
        <v>68</v>
      </c>
      <c r="G145" s="48"/>
      <c r="H145" s="21" t="s">
        <v>16</v>
      </c>
      <c r="I145" s="21">
        <v>3.6</v>
      </c>
      <c r="J145" s="5" t="s">
        <v>17</v>
      </c>
      <c r="K145" s="22"/>
      <c r="L145" s="23">
        <v>11</v>
      </c>
      <c r="M145" s="8">
        <f t="shared" ref="M145:M155" si="8">P145/1.18</f>
        <v>1177.9661016949153</v>
      </c>
      <c r="N145" s="9">
        <f t="shared" ref="N145:N208" si="9">M145-M145*L145%</f>
        <v>1048.3898305084747</v>
      </c>
      <c r="O145" s="10">
        <f t="shared" ref="O145:O208" si="10">N145*1.18</f>
        <v>1237.1000000000001</v>
      </c>
      <c r="P145" s="9">
        <v>1390</v>
      </c>
      <c r="Q145" s="12">
        <f>P145*1.8-12</f>
        <v>2490</v>
      </c>
    </row>
    <row r="146" spans="1:17" ht="15.75" customHeight="1">
      <c r="A146" s="63"/>
      <c r="B146" s="47"/>
      <c r="C146" s="47"/>
      <c r="D146" s="47"/>
      <c r="E146" s="47"/>
      <c r="F146" s="26" t="s">
        <v>69</v>
      </c>
      <c r="G146" s="48"/>
      <c r="H146" s="21" t="s">
        <v>16</v>
      </c>
      <c r="I146" s="21">
        <v>9.1</v>
      </c>
      <c r="J146" s="5" t="s">
        <v>17</v>
      </c>
      <c r="K146" s="22"/>
      <c r="L146" s="23">
        <v>11</v>
      </c>
      <c r="M146" s="8">
        <f t="shared" si="8"/>
        <v>2872.8813559322034</v>
      </c>
      <c r="N146" s="9">
        <f t="shared" si="9"/>
        <v>2556.8644067796608</v>
      </c>
      <c r="O146" s="10">
        <f t="shared" si="10"/>
        <v>3017.0999999999995</v>
      </c>
      <c r="P146" s="9">
        <v>3390</v>
      </c>
      <c r="Q146" s="12">
        <f>P146*1.8-12</f>
        <v>6090</v>
      </c>
    </row>
    <row r="147" spans="1:17" ht="15.75" customHeight="1">
      <c r="A147" s="63"/>
      <c r="B147" s="47"/>
      <c r="C147" s="47"/>
      <c r="D147" s="47"/>
      <c r="E147" s="47"/>
      <c r="F147" s="26" t="s">
        <v>70</v>
      </c>
      <c r="G147" s="48"/>
      <c r="H147" s="21" t="s">
        <v>16</v>
      </c>
      <c r="I147" s="21">
        <v>18.2</v>
      </c>
      <c r="J147" s="5" t="s">
        <v>17</v>
      </c>
      <c r="K147" s="22"/>
      <c r="L147" s="23">
        <v>11</v>
      </c>
      <c r="M147" s="8">
        <f t="shared" si="8"/>
        <v>5500</v>
      </c>
      <c r="N147" s="9">
        <f t="shared" si="9"/>
        <v>4895</v>
      </c>
      <c r="O147" s="10">
        <f t="shared" si="10"/>
        <v>5776.0999999999995</v>
      </c>
      <c r="P147" s="9">
        <v>6490</v>
      </c>
      <c r="Q147" s="12">
        <f t="shared" ref="Q147" si="11">P147*1.8+8</f>
        <v>11690</v>
      </c>
    </row>
    <row r="148" spans="1:17" ht="15.75" customHeight="1">
      <c r="A148" s="63"/>
      <c r="B148" s="47">
        <v>48</v>
      </c>
      <c r="C148" s="47" t="s">
        <v>13</v>
      </c>
      <c r="D148" s="47" t="s">
        <v>75</v>
      </c>
      <c r="E148" s="47" t="s">
        <v>15</v>
      </c>
      <c r="F148" s="26" t="s">
        <v>71</v>
      </c>
      <c r="G148" s="48">
        <v>32091090</v>
      </c>
      <c r="H148" s="21" t="s">
        <v>16</v>
      </c>
      <c r="I148" s="21">
        <v>1</v>
      </c>
      <c r="J148" s="5" t="s">
        <v>17</v>
      </c>
      <c r="K148" s="22"/>
      <c r="L148" s="23">
        <v>11</v>
      </c>
      <c r="M148" s="8">
        <f t="shared" si="8"/>
        <v>161.0169491525424</v>
      </c>
      <c r="N148" s="9">
        <f t="shared" si="9"/>
        <v>143.30508474576274</v>
      </c>
      <c r="O148" s="10">
        <f t="shared" si="10"/>
        <v>169.10000000000002</v>
      </c>
      <c r="P148" s="11">
        <v>190</v>
      </c>
      <c r="Q148" s="12">
        <f>P148*1.8-52</f>
        <v>290</v>
      </c>
    </row>
    <row r="149" spans="1:17" ht="15.75" customHeight="1">
      <c r="A149" s="63"/>
      <c r="B149" s="47"/>
      <c r="C149" s="47"/>
      <c r="D149" s="47"/>
      <c r="E149" s="47"/>
      <c r="F149" s="26" t="s">
        <v>68</v>
      </c>
      <c r="G149" s="48"/>
      <c r="H149" s="21" t="s">
        <v>16</v>
      </c>
      <c r="I149" s="21">
        <v>3.6</v>
      </c>
      <c r="J149" s="5" t="s">
        <v>17</v>
      </c>
      <c r="K149" s="22"/>
      <c r="L149" s="23">
        <v>11</v>
      </c>
      <c r="M149" s="8">
        <f t="shared" si="8"/>
        <v>500</v>
      </c>
      <c r="N149" s="9">
        <f t="shared" si="9"/>
        <v>445</v>
      </c>
      <c r="O149" s="10">
        <f t="shared" si="10"/>
        <v>525.1</v>
      </c>
      <c r="P149" s="11">
        <v>590</v>
      </c>
      <c r="Q149" s="12">
        <f>P149*1.8+28</f>
        <v>1090</v>
      </c>
    </row>
    <row r="150" spans="1:17" ht="15.75" customHeight="1">
      <c r="A150" s="63"/>
      <c r="B150" s="47"/>
      <c r="C150" s="47"/>
      <c r="D150" s="47"/>
      <c r="E150" s="47"/>
      <c r="F150" s="26" t="s">
        <v>69</v>
      </c>
      <c r="G150" s="48"/>
      <c r="H150" s="21" t="s">
        <v>16</v>
      </c>
      <c r="I150" s="21">
        <v>9.1</v>
      </c>
      <c r="J150" s="5" t="s">
        <v>17</v>
      </c>
      <c r="K150" s="22"/>
      <c r="L150" s="23">
        <v>11</v>
      </c>
      <c r="M150" s="8">
        <f t="shared" si="8"/>
        <v>1262.7118644067798</v>
      </c>
      <c r="N150" s="9">
        <f t="shared" si="9"/>
        <v>1123.8135593220341</v>
      </c>
      <c r="O150" s="10">
        <f t="shared" si="10"/>
        <v>1326.1000000000001</v>
      </c>
      <c r="P150" s="11">
        <v>1490</v>
      </c>
      <c r="Q150" s="12">
        <f>P150*1.8+8</f>
        <v>2690</v>
      </c>
    </row>
    <row r="151" spans="1:17" ht="15.75" customHeight="1">
      <c r="A151" s="63"/>
      <c r="B151" s="47"/>
      <c r="C151" s="47"/>
      <c r="D151" s="47"/>
      <c r="E151" s="47"/>
      <c r="F151" s="26" t="s">
        <v>70</v>
      </c>
      <c r="G151" s="48"/>
      <c r="H151" s="21" t="s">
        <v>16</v>
      </c>
      <c r="I151" s="21">
        <v>18.2</v>
      </c>
      <c r="J151" s="5" t="s">
        <v>17</v>
      </c>
      <c r="K151" s="22"/>
      <c r="L151" s="23">
        <v>11</v>
      </c>
      <c r="M151" s="8">
        <f t="shared" si="8"/>
        <v>2449.1525423728813</v>
      </c>
      <c r="N151" s="9">
        <f t="shared" si="9"/>
        <v>2179.7457627118642</v>
      </c>
      <c r="O151" s="10">
        <f t="shared" si="10"/>
        <v>2572.0999999999995</v>
      </c>
      <c r="P151" s="11">
        <v>2890</v>
      </c>
      <c r="Q151" s="12">
        <f>P151*1.8-12</f>
        <v>5190</v>
      </c>
    </row>
    <row r="152" spans="1:17" ht="15.75" customHeight="1">
      <c r="A152" s="63"/>
      <c r="B152" s="47">
        <v>49</v>
      </c>
      <c r="C152" s="47" t="s">
        <v>13</v>
      </c>
      <c r="D152" s="47" t="s">
        <v>75</v>
      </c>
      <c r="E152" s="47" t="s">
        <v>15</v>
      </c>
      <c r="F152" s="26" t="s">
        <v>74</v>
      </c>
      <c r="G152" s="48">
        <v>32091090</v>
      </c>
      <c r="H152" s="21" t="s">
        <v>16</v>
      </c>
      <c r="I152" s="21">
        <v>1</v>
      </c>
      <c r="J152" s="5" t="s">
        <v>17</v>
      </c>
      <c r="K152" s="22"/>
      <c r="L152" s="23">
        <v>11</v>
      </c>
      <c r="M152" s="8">
        <f t="shared" si="8"/>
        <v>161.0169491525424</v>
      </c>
      <c r="N152" s="9">
        <f t="shared" si="9"/>
        <v>143.30508474576274</v>
      </c>
      <c r="O152" s="10">
        <f t="shared" si="10"/>
        <v>169.10000000000002</v>
      </c>
      <c r="P152" s="11">
        <v>190</v>
      </c>
      <c r="Q152" s="12">
        <f>P152*1.8-52</f>
        <v>290</v>
      </c>
    </row>
    <row r="153" spans="1:17" ht="15.75" customHeight="1">
      <c r="A153" s="63"/>
      <c r="B153" s="47"/>
      <c r="C153" s="47"/>
      <c r="D153" s="47"/>
      <c r="E153" s="47"/>
      <c r="F153" s="26" t="s">
        <v>68</v>
      </c>
      <c r="G153" s="48"/>
      <c r="H153" s="21" t="s">
        <v>16</v>
      </c>
      <c r="I153" s="21">
        <v>3.6</v>
      </c>
      <c r="J153" s="5" t="s">
        <v>17</v>
      </c>
      <c r="K153" s="22"/>
      <c r="L153" s="23">
        <v>11</v>
      </c>
      <c r="M153" s="8">
        <f t="shared" si="8"/>
        <v>500</v>
      </c>
      <c r="N153" s="9">
        <f t="shared" si="9"/>
        <v>445</v>
      </c>
      <c r="O153" s="10">
        <f t="shared" si="10"/>
        <v>525.1</v>
      </c>
      <c r="P153" s="11">
        <v>590</v>
      </c>
      <c r="Q153" s="12">
        <f>P153*1.8+28</f>
        <v>1090</v>
      </c>
    </row>
    <row r="154" spans="1:17" ht="15.75" customHeight="1">
      <c r="A154" s="63"/>
      <c r="B154" s="47"/>
      <c r="C154" s="47"/>
      <c r="D154" s="47"/>
      <c r="E154" s="47"/>
      <c r="F154" s="26" t="s">
        <v>69</v>
      </c>
      <c r="G154" s="48"/>
      <c r="H154" s="21" t="s">
        <v>16</v>
      </c>
      <c r="I154" s="21">
        <v>9.1</v>
      </c>
      <c r="J154" s="5" t="s">
        <v>17</v>
      </c>
      <c r="K154" s="22"/>
      <c r="L154" s="23">
        <v>11</v>
      </c>
      <c r="M154" s="8">
        <f t="shared" si="8"/>
        <v>1262.7118644067798</v>
      </c>
      <c r="N154" s="9">
        <f t="shared" si="9"/>
        <v>1123.8135593220341</v>
      </c>
      <c r="O154" s="10">
        <f t="shared" si="10"/>
        <v>1326.1000000000001</v>
      </c>
      <c r="P154" s="11">
        <v>1490</v>
      </c>
      <c r="Q154" s="12">
        <f>P154*1.8+8</f>
        <v>2690</v>
      </c>
    </row>
    <row r="155" spans="1:17" ht="15.75" customHeight="1">
      <c r="A155" s="63"/>
      <c r="B155" s="47"/>
      <c r="C155" s="47"/>
      <c r="D155" s="47"/>
      <c r="E155" s="47"/>
      <c r="F155" s="26" t="s">
        <v>70</v>
      </c>
      <c r="G155" s="48"/>
      <c r="H155" s="21" t="s">
        <v>16</v>
      </c>
      <c r="I155" s="21">
        <v>18.2</v>
      </c>
      <c r="J155" s="5" t="s">
        <v>17</v>
      </c>
      <c r="K155" s="22"/>
      <c r="L155" s="23">
        <v>11</v>
      </c>
      <c r="M155" s="8">
        <f t="shared" si="8"/>
        <v>2449.1525423728813</v>
      </c>
      <c r="N155" s="9">
        <f t="shared" si="9"/>
        <v>2179.7457627118642</v>
      </c>
      <c r="O155" s="10">
        <f t="shared" si="10"/>
        <v>2572.0999999999995</v>
      </c>
      <c r="P155" s="11">
        <v>2890</v>
      </c>
      <c r="Q155" s="12">
        <f>P155*1.8-12</f>
        <v>5190</v>
      </c>
    </row>
    <row r="156" spans="1:17" ht="15.75" customHeight="1">
      <c r="A156" s="63"/>
      <c r="B156" s="59">
        <v>50</v>
      </c>
      <c r="C156" s="47" t="s">
        <v>13</v>
      </c>
      <c r="D156" s="47" t="s">
        <v>88</v>
      </c>
      <c r="E156" s="47" t="s">
        <v>15</v>
      </c>
      <c r="F156" s="47"/>
      <c r="G156" s="48">
        <v>32099090</v>
      </c>
      <c r="H156" s="18" t="s">
        <v>16</v>
      </c>
      <c r="I156" s="18">
        <v>1</v>
      </c>
      <c r="J156" s="18" t="s">
        <v>17</v>
      </c>
      <c r="K156" s="22"/>
      <c r="L156" s="23">
        <v>11</v>
      </c>
      <c r="M156" s="8">
        <f>P156/1.18</f>
        <v>584.74576271186447</v>
      </c>
      <c r="N156" s="9">
        <f t="shared" si="9"/>
        <v>520.42372881355936</v>
      </c>
      <c r="O156" s="10">
        <f t="shared" si="10"/>
        <v>614.1</v>
      </c>
      <c r="P156" s="9">
        <v>690</v>
      </c>
      <c r="Q156" s="12">
        <f>P156*1.8-52</f>
        <v>1190</v>
      </c>
    </row>
    <row r="157" spans="1:17" ht="15.75" customHeight="1">
      <c r="A157" s="63"/>
      <c r="B157" s="60"/>
      <c r="C157" s="47"/>
      <c r="D157" s="47"/>
      <c r="E157" s="47"/>
      <c r="F157" s="47"/>
      <c r="G157" s="48"/>
      <c r="H157" s="18" t="s">
        <v>16</v>
      </c>
      <c r="I157" s="18">
        <v>3.6</v>
      </c>
      <c r="J157" s="18" t="s">
        <v>17</v>
      </c>
      <c r="K157" s="22"/>
      <c r="L157" s="23">
        <v>11</v>
      </c>
      <c r="M157" s="8">
        <f t="shared" ref="M157:M159" si="12">P157/1.18</f>
        <v>1686.4406779661017</v>
      </c>
      <c r="N157" s="9">
        <f t="shared" si="9"/>
        <v>1500.9322033898304</v>
      </c>
      <c r="O157" s="10">
        <f t="shared" si="10"/>
        <v>1771.1</v>
      </c>
      <c r="P157" s="9">
        <v>1990</v>
      </c>
      <c r="Q157" s="12">
        <f>P157*1.8+8</f>
        <v>3590</v>
      </c>
    </row>
    <row r="158" spans="1:17" ht="15.75" customHeight="1">
      <c r="A158" s="63"/>
      <c r="B158" s="60"/>
      <c r="C158" s="47"/>
      <c r="D158" s="47"/>
      <c r="E158" s="47"/>
      <c r="F158" s="47"/>
      <c r="G158" s="48"/>
      <c r="H158" s="18" t="s">
        <v>16</v>
      </c>
      <c r="I158" s="18">
        <v>9.1</v>
      </c>
      <c r="J158" s="18" t="s">
        <v>17</v>
      </c>
      <c r="K158" s="22"/>
      <c r="L158" s="23">
        <v>11</v>
      </c>
      <c r="M158" s="8">
        <f t="shared" si="12"/>
        <v>3974.5762711864409</v>
      </c>
      <c r="N158" s="9">
        <f t="shared" si="9"/>
        <v>3537.3728813559323</v>
      </c>
      <c r="O158" s="10">
        <f t="shared" si="10"/>
        <v>4174.1000000000004</v>
      </c>
      <c r="P158" s="9">
        <v>4690</v>
      </c>
      <c r="Q158" s="12">
        <f>P158*1.8+48</f>
        <v>8490</v>
      </c>
    </row>
    <row r="159" spans="1:17" ht="15.75" customHeight="1">
      <c r="A159" s="63"/>
      <c r="B159" s="61"/>
      <c r="C159" s="47"/>
      <c r="D159" s="47"/>
      <c r="E159" s="47"/>
      <c r="F159" s="47"/>
      <c r="G159" s="48"/>
      <c r="H159" s="18" t="s">
        <v>16</v>
      </c>
      <c r="I159" s="18">
        <v>18.2</v>
      </c>
      <c r="J159" s="18" t="s">
        <v>17</v>
      </c>
      <c r="K159" s="22"/>
      <c r="L159" s="23">
        <v>11</v>
      </c>
      <c r="M159" s="8">
        <f t="shared" si="12"/>
        <v>7618.6440677966102</v>
      </c>
      <c r="N159" s="9">
        <f t="shared" si="9"/>
        <v>6780.593220338983</v>
      </c>
      <c r="O159" s="10">
        <f t="shared" si="10"/>
        <v>8001.0999999999995</v>
      </c>
      <c r="P159" s="9">
        <v>8990</v>
      </c>
      <c r="Q159" s="12">
        <f>P159*1.8+8</f>
        <v>16190</v>
      </c>
    </row>
    <row r="160" spans="1:17" ht="15.75" customHeight="1">
      <c r="A160" s="63"/>
      <c r="B160" s="59">
        <v>51</v>
      </c>
      <c r="C160" s="47" t="s">
        <v>13</v>
      </c>
      <c r="D160" s="47" t="s">
        <v>140</v>
      </c>
      <c r="E160" s="47" t="s">
        <v>15</v>
      </c>
      <c r="F160" s="47"/>
      <c r="G160" s="48">
        <v>32099090</v>
      </c>
      <c r="H160" s="18" t="s">
        <v>16</v>
      </c>
      <c r="I160" s="18">
        <v>1</v>
      </c>
      <c r="J160" s="18" t="s">
        <v>17</v>
      </c>
      <c r="K160" s="22"/>
      <c r="L160" s="23">
        <v>11</v>
      </c>
      <c r="M160" s="8">
        <f>P160/1.18</f>
        <v>584.74576271186447</v>
      </c>
      <c r="N160" s="9">
        <f t="shared" si="9"/>
        <v>520.42372881355936</v>
      </c>
      <c r="O160" s="10">
        <f t="shared" si="10"/>
        <v>614.1</v>
      </c>
      <c r="P160" s="9">
        <v>690</v>
      </c>
      <c r="Q160" s="12">
        <f>P160*1.8-52</f>
        <v>1190</v>
      </c>
    </row>
    <row r="161" spans="1:17" ht="15.75" customHeight="1">
      <c r="A161" s="63"/>
      <c r="B161" s="60"/>
      <c r="C161" s="47"/>
      <c r="D161" s="47"/>
      <c r="E161" s="47"/>
      <c r="F161" s="47"/>
      <c r="G161" s="48"/>
      <c r="H161" s="18" t="s">
        <v>16</v>
      </c>
      <c r="I161" s="18">
        <v>3.6</v>
      </c>
      <c r="J161" s="18" t="s">
        <v>17</v>
      </c>
      <c r="K161" s="22"/>
      <c r="L161" s="23">
        <v>11</v>
      </c>
      <c r="M161" s="8">
        <f t="shared" ref="M161:M224" si="13">P161/1.18</f>
        <v>1686.4406779661017</v>
      </c>
      <c r="N161" s="9">
        <f t="shared" si="9"/>
        <v>1500.9322033898304</v>
      </c>
      <c r="O161" s="10">
        <f t="shared" si="10"/>
        <v>1771.1</v>
      </c>
      <c r="P161" s="9">
        <v>1990</v>
      </c>
      <c r="Q161" s="12">
        <f>P161*1.8+8</f>
        <v>3590</v>
      </c>
    </row>
    <row r="162" spans="1:17" ht="15.75" customHeight="1">
      <c r="A162" s="63"/>
      <c r="B162" s="60"/>
      <c r="C162" s="47"/>
      <c r="D162" s="47"/>
      <c r="E162" s="47"/>
      <c r="F162" s="47"/>
      <c r="G162" s="48"/>
      <c r="H162" s="18" t="s">
        <v>16</v>
      </c>
      <c r="I162" s="18">
        <v>9.1</v>
      </c>
      <c r="J162" s="18" t="s">
        <v>17</v>
      </c>
      <c r="K162" s="22"/>
      <c r="L162" s="23">
        <v>11</v>
      </c>
      <c r="M162" s="8">
        <f t="shared" si="13"/>
        <v>3974.5762711864409</v>
      </c>
      <c r="N162" s="9">
        <f t="shared" si="9"/>
        <v>3537.3728813559323</v>
      </c>
      <c r="O162" s="10">
        <f t="shared" si="10"/>
        <v>4174.1000000000004</v>
      </c>
      <c r="P162" s="9">
        <v>4690</v>
      </c>
      <c r="Q162" s="12">
        <f>P162*1.8+48</f>
        <v>8490</v>
      </c>
    </row>
    <row r="163" spans="1:17" ht="15.75" customHeight="1">
      <c r="A163" s="63"/>
      <c r="B163" s="61"/>
      <c r="C163" s="47"/>
      <c r="D163" s="47"/>
      <c r="E163" s="47"/>
      <c r="F163" s="47"/>
      <c r="G163" s="48"/>
      <c r="H163" s="18" t="s">
        <v>16</v>
      </c>
      <c r="I163" s="18">
        <v>18.2</v>
      </c>
      <c r="J163" s="18" t="s">
        <v>17</v>
      </c>
      <c r="K163" s="22"/>
      <c r="L163" s="23">
        <v>11</v>
      </c>
      <c r="M163" s="8">
        <f t="shared" si="13"/>
        <v>7618.6440677966102</v>
      </c>
      <c r="N163" s="9">
        <f t="shared" si="9"/>
        <v>6780.593220338983</v>
      </c>
      <c r="O163" s="10">
        <f t="shared" si="10"/>
        <v>8001.0999999999995</v>
      </c>
      <c r="P163" s="9">
        <v>8990</v>
      </c>
      <c r="Q163" s="12">
        <f>P163*1.8+8</f>
        <v>16190</v>
      </c>
    </row>
    <row r="164" spans="1:17" ht="15.75" customHeight="1">
      <c r="A164" s="63"/>
      <c r="B164" s="47">
        <v>52</v>
      </c>
      <c r="C164" s="47" t="s">
        <v>13</v>
      </c>
      <c r="D164" s="47" t="s">
        <v>76</v>
      </c>
      <c r="E164" s="47" t="s">
        <v>15</v>
      </c>
      <c r="F164" s="47" t="s">
        <v>77</v>
      </c>
      <c r="G164" s="55">
        <v>38140010</v>
      </c>
      <c r="H164" s="21" t="s">
        <v>16</v>
      </c>
      <c r="I164" s="21">
        <v>1</v>
      </c>
      <c r="J164" s="5" t="s">
        <v>17</v>
      </c>
      <c r="K164" s="22"/>
      <c r="L164" s="23">
        <v>11</v>
      </c>
      <c r="M164" s="8">
        <f t="shared" si="13"/>
        <v>245.76271186440678</v>
      </c>
      <c r="N164" s="9">
        <f t="shared" si="9"/>
        <v>218.72881355932202</v>
      </c>
      <c r="O164" s="10">
        <f t="shared" si="10"/>
        <v>258.09999999999997</v>
      </c>
      <c r="P164" s="11">
        <v>290</v>
      </c>
      <c r="Q164" s="12">
        <f>P164*1.8-32</f>
        <v>490</v>
      </c>
    </row>
    <row r="165" spans="1:17" ht="15.75" customHeight="1">
      <c r="A165" s="63"/>
      <c r="B165" s="47"/>
      <c r="C165" s="47"/>
      <c r="D165" s="47"/>
      <c r="E165" s="47"/>
      <c r="F165" s="47"/>
      <c r="G165" s="55"/>
      <c r="H165" s="21" t="s">
        <v>16</v>
      </c>
      <c r="I165" s="21">
        <v>4</v>
      </c>
      <c r="J165" s="5" t="s">
        <v>17</v>
      </c>
      <c r="K165" s="22"/>
      <c r="L165" s="23">
        <v>11</v>
      </c>
      <c r="M165" s="8">
        <f t="shared" si="13"/>
        <v>838.98305084745766</v>
      </c>
      <c r="N165" s="9">
        <f t="shared" si="9"/>
        <v>746.69491525423734</v>
      </c>
      <c r="O165" s="10">
        <f t="shared" si="10"/>
        <v>881.1</v>
      </c>
      <c r="P165" s="11">
        <v>990</v>
      </c>
      <c r="Q165" s="12">
        <f>P165*1.8+8</f>
        <v>1790</v>
      </c>
    </row>
    <row r="166" spans="1:17" ht="15.75" customHeight="1">
      <c r="A166" s="63"/>
      <c r="B166" s="47"/>
      <c r="C166" s="47"/>
      <c r="D166" s="47"/>
      <c r="E166" s="47"/>
      <c r="F166" s="47"/>
      <c r="G166" s="55"/>
      <c r="H166" s="21" t="s">
        <v>16</v>
      </c>
      <c r="I166" s="21">
        <v>10</v>
      </c>
      <c r="J166" s="5" t="s">
        <v>17</v>
      </c>
      <c r="K166" s="22"/>
      <c r="L166" s="23">
        <v>11</v>
      </c>
      <c r="M166" s="8">
        <f t="shared" si="13"/>
        <v>1940.6779661016951</v>
      </c>
      <c r="N166" s="9">
        <f t="shared" si="9"/>
        <v>1727.2033898305087</v>
      </c>
      <c r="O166" s="10">
        <f t="shared" si="10"/>
        <v>2038.1000000000001</v>
      </c>
      <c r="P166" s="11">
        <v>2290</v>
      </c>
      <c r="Q166" s="12">
        <f>P166*1.8-32</f>
        <v>4090</v>
      </c>
    </row>
    <row r="167" spans="1:17" ht="15.75" customHeight="1">
      <c r="A167" s="63"/>
      <c r="B167" s="47"/>
      <c r="C167" s="47"/>
      <c r="D167" s="47"/>
      <c r="E167" s="47"/>
      <c r="F167" s="47"/>
      <c r="G167" s="55"/>
      <c r="H167" s="21" t="s">
        <v>16</v>
      </c>
      <c r="I167" s="21">
        <v>20</v>
      </c>
      <c r="J167" s="5" t="s">
        <v>17</v>
      </c>
      <c r="K167" s="22"/>
      <c r="L167" s="23">
        <v>11</v>
      </c>
      <c r="M167" s="8">
        <f t="shared" si="13"/>
        <v>3805.0847457627119</v>
      </c>
      <c r="N167" s="9">
        <f t="shared" si="9"/>
        <v>3386.5254237288136</v>
      </c>
      <c r="O167" s="10">
        <f t="shared" si="10"/>
        <v>3996.1</v>
      </c>
      <c r="P167" s="11">
        <v>4490</v>
      </c>
      <c r="Q167" s="12">
        <f>P167*1.8+8</f>
        <v>8090</v>
      </c>
    </row>
    <row r="168" spans="1:17" ht="15.75" customHeight="1">
      <c r="A168" s="63"/>
      <c r="B168" s="47">
        <v>53</v>
      </c>
      <c r="C168" s="47" t="s">
        <v>13</v>
      </c>
      <c r="D168" s="47" t="s">
        <v>76</v>
      </c>
      <c r="E168" s="47" t="s">
        <v>15</v>
      </c>
      <c r="F168" s="47" t="s">
        <v>78</v>
      </c>
      <c r="G168" s="55">
        <v>38140010</v>
      </c>
      <c r="H168" s="21" t="s">
        <v>16</v>
      </c>
      <c r="I168" s="21">
        <v>1</v>
      </c>
      <c r="J168" s="5" t="s">
        <v>17</v>
      </c>
      <c r="K168" s="22"/>
      <c r="L168" s="23">
        <v>11</v>
      </c>
      <c r="M168" s="8">
        <f t="shared" si="13"/>
        <v>295.76271186440681</v>
      </c>
      <c r="N168" s="9">
        <f t="shared" si="9"/>
        <v>263.22881355932208</v>
      </c>
      <c r="O168" s="10">
        <f t="shared" si="10"/>
        <v>310.61</v>
      </c>
      <c r="P168" s="11">
        <v>349</v>
      </c>
      <c r="Q168" s="12">
        <f>P168*1.8-38.2</f>
        <v>590</v>
      </c>
    </row>
    <row r="169" spans="1:17" ht="15.75" customHeight="1">
      <c r="A169" s="63"/>
      <c r="B169" s="47"/>
      <c r="C169" s="47"/>
      <c r="D169" s="47"/>
      <c r="E169" s="47"/>
      <c r="F169" s="47"/>
      <c r="G169" s="55"/>
      <c r="H169" s="21" t="s">
        <v>16</v>
      </c>
      <c r="I169" s="21">
        <v>4</v>
      </c>
      <c r="J169" s="5" t="s">
        <v>17</v>
      </c>
      <c r="K169" s="22"/>
      <c r="L169" s="23">
        <v>11</v>
      </c>
      <c r="M169" s="8">
        <f t="shared" si="13"/>
        <v>1008.4745762711865</v>
      </c>
      <c r="N169" s="9">
        <f t="shared" si="9"/>
        <v>897.54237288135596</v>
      </c>
      <c r="O169" s="10">
        <f t="shared" si="10"/>
        <v>1059.0999999999999</v>
      </c>
      <c r="P169" s="11">
        <v>1190</v>
      </c>
      <c r="Q169" s="12">
        <f>P169*1.8+48</f>
        <v>2190</v>
      </c>
    </row>
    <row r="170" spans="1:17" ht="15.75" customHeight="1">
      <c r="A170" s="63"/>
      <c r="B170" s="47"/>
      <c r="C170" s="47"/>
      <c r="D170" s="47"/>
      <c r="E170" s="47"/>
      <c r="F170" s="47"/>
      <c r="G170" s="55"/>
      <c r="H170" s="21" t="s">
        <v>16</v>
      </c>
      <c r="I170" s="21">
        <v>10</v>
      </c>
      <c r="J170" s="5" t="s">
        <v>17</v>
      </c>
      <c r="K170" s="22"/>
      <c r="L170" s="23">
        <v>11</v>
      </c>
      <c r="M170" s="8">
        <f t="shared" si="13"/>
        <v>2449.1525423728813</v>
      </c>
      <c r="N170" s="9">
        <f t="shared" si="9"/>
        <v>2179.7457627118642</v>
      </c>
      <c r="O170" s="10">
        <f t="shared" si="10"/>
        <v>2572.0999999999995</v>
      </c>
      <c r="P170" s="11">
        <v>2890</v>
      </c>
      <c r="Q170" s="12">
        <f>P170*1.8-12</f>
        <v>5190</v>
      </c>
    </row>
    <row r="171" spans="1:17" ht="15.75" customHeight="1">
      <c r="A171" s="63"/>
      <c r="B171" s="47"/>
      <c r="C171" s="47"/>
      <c r="D171" s="47"/>
      <c r="E171" s="47"/>
      <c r="F171" s="47"/>
      <c r="G171" s="55"/>
      <c r="H171" s="21" t="s">
        <v>16</v>
      </c>
      <c r="I171" s="21">
        <v>20</v>
      </c>
      <c r="J171" s="5" t="s">
        <v>17</v>
      </c>
      <c r="K171" s="22"/>
      <c r="L171" s="23">
        <v>11</v>
      </c>
      <c r="M171" s="8">
        <f t="shared" si="13"/>
        <v>4737.2881355932204</v>
      </c>
      <c r="N171" s="9">
        <f t="shared" si="9"/>
        <v>4216.1864406779659</v>
      </c>
      <c r="O171" s="10">
        <f t="shared" si="10"/>
        <v>4975.0999999999995</v>
      </c>
      <c r="P171" s="11">
        <v>5590</v>
      </c>
      <c r="Q171" s="12">
        <f>P171*1.8+28</f>
        <v>10090</v>
      </c>
    </row>
    <row r="172" spans="1:17" ht="15.75" customHeight="1">
      <c r="A172" s="63"/>
      <c r="B172" s="47">
        <v>54</v>
      </c>
      <c r="C172" s="47" t="s">
        <v>13</v>
      </c>
      <c r="D172" s="47" t="s">
        <v>79</v>
      </c>
      <c r="E172" s="47" t="s">
        <v>66</v>
      </c>
      <c r="F172" s="47" t="s">
        <v>80</v>
      </c>
      <c r="G172" s="48">
        <v>39095000</v>
      </c>
      <c r="H172" s="21" t="s">
        <v>24</v>
      </c>
      <c r="I172" s="21">
        <v>1</v>
      </c>
      <c r="J172" s="5" t="s">
        <v>17</v>
      </c>
      <c r="K172" s="28" t="s">
        <v>81</v>
      </c>
      <c r="L172" s="23">
        <v>14</v>
      </c>
      <c r="M172" s="8">
        <f t="shared" si="13"/>
        <v>838.98305084745766</v>
      </c>
      <c r="N172" s="9">
        <f t="shared" si="9"/>
        <v>721.52542372881362</v>
      </c>
      <c r="O172" s="10">
        <f t="shared" si="10"/>
        <v>851.4</v>
      </c>
      <c r="P172" s="11">
        <v>990</v>
      </c>
      <c r="Q172" s="12">
        <f>P172*1.8+8</f>
        <v>1790</v>
      </c>
    </row>
    <row r="173" spans="1:17" ht="15.75" customHeight="1">
      <c r="A173" s="63"/>
      <c r="B173" s="47"/>
      <c r="C173" s="47"/>
      <c r="D173" s="47"/>
      <c r="E173" s="47"/>
      <c r="F173" s="47"/>
      <c r="G173" s="48"/>
      <c r="H173" s="21" t="s">
        <v>24</v>
      </c>
      <c r="I173" s="21">
        <v>5</v>
      </c>
      <c r="J173" s="5" t="s">
        <v>17</v>
      </c>
      <c r="K173" s="28" t="s">
        <v>81</v>
      </c>
      <c r="L173" s="23">
        <v>14</v>
      </c>
      <c r="M173" s="8">
        <f t="shared" si="13"/>
        <v>4144.0677966101694</v>
      </c>
      <c r="N173" s="9">
        <f t="shared" si="9"/>
        <v>3563.8983050847455</v>
      </c>
      <c r="O173" s="10">
        <f t="shared" si="10"/>
        <v>4205.3999999999996</v>
      </c>
      <c r="P173" s="11">
        <v>4890</v>
      </c>
      <c r="Q173" s="12">
        <f>P173*1.8-12</f>
        <v>8790</v>
      </c>
    </row>
    <row r="174" spans="1:17" ht="15.75" customHeight="1">
      <c r="A174" s="63"/>
      <c r="B174" s="47"/>
      <c r="C174" s="47"/>
      <c r="D174" s="47"/>
      <c r="E174" s="47"/>
      <c r="F174" s="47"/>
      <c r="G174" s="48"/>
      <c r="H174" s="21" t="s">
        <v>24</v>
      </c>
      <c r="I174" s="21">
        <v>10</v>
      </c>
      <c r="J174" s="5" t="s">
        <v>17</v>
      </c>
      <c r="K174" s="28" t="s">
        <v>81</v>
      </c>
      <c r="L174" s="23">
        <v>14</v>
      </c>
      <c r="M174" s="8">
        <f t="shared" si="13"/>
        <v>8211.8644067796613</v>
      </c>
      <c r="N174" s="9">
        <f t="shared" si="9"/>
        <v>7062.203389830509</v>
      </c>
      <c r="O174" s="10">
        <f t="shared" si="10"/>
        <v>8333.4</v>
      </c>
      <c r="P174" s="11">
        <v>9690</v>
      </c>
      <c r="Q174" s="12">
        <f>P174*1.8+48</f>
        <v>17490</v>
      </c>
    </row>
    <row r="175" spans="1:17" ht="15.75" customHeight="1">
      <c r="A175" s="63"/>
      <c r="B175" s="47"/>
      <c r="C175" s="47"/>
      <c r="D175" s="47"/>
      <c r="E175" s="47"/>
      <c r="F175" s="47"/>
      <c r="G175" s="48"/>
      <c r="H175" s="21" t="s">
        <v>24</v>
      </c>
      <c r="I175" s="21">
        <v>20</v>
      </c>
      <c r="J175" s="5" t="s">
        <v>17</v>
      </c>
      <c r="K175" s="28" t="s">
        <v>81</v>
      </c>
      <c r="L175" s="23">
        <v>14</v>
      </c>
      <c r="M175" s="8">
        <f t="shared" si="13"/>
        <v>16093.220338983052</v>
      </c>
      <c r="N175" s="9">
        <f t="shared" si="9"/>
        <v>13840.169491525425</v>
      </c>
      <c r="O175" s="10">
        <f t="shared" si="10"/>
        <v>16331.4</v>
      </c>
      <c r="P175" s="11">
        <v>18990</v>
      </c>
      <c r="Q175" s="12">
        <f>P175*1.8+8</f>
        <v>34190</v>
      </c>
    </row>
    <row r="176" spans="1:17" ht="15.75" customHeight="1">
      <c r="A176" s="63"/>
      <c r="B176" s="47">
        <v>55</v>
      </c>
      <c r="C176" s="47" t="s">
        <v>13</v>
      </c>
      <c r="D176" s="47" t="s">
        <v>82</v>
      </c>
      <c r="E176" s="47" t="s">
        <v>15</v>
      </c>
      <c r="F176" s="47" t="s">
        <v>80</v>
      </c>
      <c r="G176" s="48">
        <v>32099090</v>
      </c>
      <c r="H176" s="21" t="s">
        <v>16</v>
      </c>
      <c r="I176" s="21">
        <v>1</v>
      </c>
      <c r="J176" s="5" t="s">
        <v>17</v>
      </c>
      <c r="K176" s="22"/>
      <c r="L176" s="23">
        <v>11</v>
      </c>
      <c r="M176" s="8">
        <f t="shared" si="13"/>
        <v>500</v>
      </c>
      <c r="N176" s="9">
        <f t="shared" si="9"/>
        <v>445</v>
      </c>
      <c r="O176" s="10">
        <f t="shared" si="10"/>
        <v>525.1</v>
      </c>
      <c r="P176" s="11">
        <v>590</v>
      </c>
      <c r="Q176" s="12">
        <f>P176*1.8+28</f>
        <v>1090</v>
      </c>
    </row>
    <row r="177" spans="1:17" ht="15.75" customHeight="1">
      <c r="A177" s="63"/>
      <c r="B177" s="47"/>
      <c r="C177" s="47"/>
      <c r="D177" s="47"/>
      <c r="E177" s="47"/>
      <c r="F177" s="47"/>
      <c r="G177" s="48"/>
      <c r="H177" s="21" t="s">
        <v>16</v>
      </c>
      <c r="I177" s="21">
        <v>3.6</v>
      </c>
      <c r="J177" s="5" t="s">
        <v>17</v>
      </c>
      <c r="K177" s="22"/>
      <c r="L177" s="23">
        <v>11</v>
      </c>
      <c r="M177" s="8">
        <f t="shared" si="13"/>
        <v>1771.1864406779662</v>
      </c>
      <c r="N177" s="9">
        <f t="shared" si="9"/>
        <v>1576.3559322033898</v>
      </c>
      <c r="O177" s="10">
        <f t="shared" si="10"/>
        <v>1860.1</v>
      </c>
      <c r="P177" s="11">
        <v>2090</v>
      </c>
      <c r="Q177" s="12">
        <f>P177*1.8+28</f>
        <v>3790</v>
      </c>
    </row>
    <row r="178" spans="1:17" ht="15.75" customHeight="1">
      <c r="A178" s="63"/>
      <c r="B178" s="47"/>
      <c r="C178" s="47"/>
      <c r="D178" s="47"/>
      <c r="E178" s="47"/>
      <c r="F178" s="47"/>
      <c r="G178" s="48"/>
      <c r="H178" s="21" t="s">
        <v>16</v>
      </c>
      <c r="I178" s="21">
        <v>9.1</v>
      </c>
      <c r="J178" s="5" t="s">
        <v>17</v>
      </c>
      <c r="K178" s="22"/>
      <c r="L178" s="23">
        <v>11</v>
      </c>
      <c r="M178" s="8">
        <f t="shared" si="13"/>
        <v>4398.3050847457625</v>
      </c>
      <c r="N178" s="9">
        <f t="shared" si="9"/>
        <v>3914.4915254237285</v>
      </c>
      <c r="O178" s="10">
        <f t="shared" si="10"/>
        <v>4619.0999999999995</v>
      </c>
      <c r="P178" s="11">
        <v>5190</v>
      </c>
      <c r="Q178" s="12">
        <f>P178*1.8-52</f>
        <v>9290</v>
      </c>
    </row>
    <row r="179" spans="1:17" ht="15.75" customHeight="1">
      <c r="A179" s="63"/>
      <c r="B179" s="47"/>
      <c r="C179" s="47"/>
      <c r="D179" s="47"/>
      <c r="E179" s="47"/>
      <c r="F179" s="47"/>
      <c r="G179" s="48"/>
      <c r="H179" s="21" t="s">
        <v>16</v>
      </c>
      <c r="I179" s="21">
        <v>18.2</v>
      </c>
      <c r="J179" s="5" t="s">
        <v>17</v>
      </c>
      <c r="K179" s="22"/>
      <c r="L179" s="23">
        <v>11</v>
      </c>
      <c r="M179" s="8">
        <f t="shared" si="13"/>
        <v>8466.1016949152545</v>
      </c>
      <c r="N179" s="9">
        <f t="shared" si="9"/>
        <v>7534.8305084745762</v>
      </c>
      <c r="O179" s="10">
        <f t="shared" si="10"/>
        <v>8891.0999999999985</v>
      </c>
      <c r="P179" s="11">
        <v>9990</v>
      </c>
      <c r="Q179" s="12">
        <f>P179*1.8+8</f>
        <v>17990</v>
      </c>
    </row>
    <row r="180" spans="1:17" ht="15.75" customHeight="1">
      <c r="A180" s="63"/>
      <c r="B180" s="47">
        <v>56</v>
      </c>
      <c r="C180" s="47" t="s">
        <v>13</v>
      </c>
      <c r="D180" s="47" t="s">
        <v>82</v>
      </c>
      <c r="E180" s="47" t="s">
        <v>15</v>
      </c>
      <c r="F180" s="47" t="s">
        <v>83</v>
      </c>
      <c r="G180" s="48">
        <v>32099090</v>
      </c>
      <c r="H180" s="21" t="s">
        <v>16</v>
      </c>
      <c r="I180" s="21">
        <v>1</v>
      </c>
      <c r="J180" s="5" t="s">
        <v>17</v>
      </c>
      <c r="K180" s="22"/>
      <c r="L180" s="23">
        <v>11</v>
      </c>
      <c r="M180" s="8">
        <f t="shared" si="13"/>
        <v>245.76271186440678</v>
      </c>
      <c r="N180" s="9">
        <f t="shared" si="9"/>
        <v>218.72881355932202</v>
      </c>
      <c r="O180" s="10">
        <f t="shared" si="10"/>
        <v>258.09999999999997</v>
      </c>
      <c r="P180" s="11">
        <v>290</v>
      </c>
      <c r="Q180" s="12">
        <f>P180*1.8-32</f>
        <v>490</v>
      </c>
    </row>
    <row r="181" spans="1:17" ht="15.75" customHeight="1">
      <c r="A181" s="63"/>
      <c r="B181" s="47"/>
      <c r="C181" s="47"/>
      <c r="D181" s="47"/>
      <c r="E181" s="47"/>
      <c r="F181" s="47"/>
      <c r="G181" s="48"/>
      <c r="H181" s="21" t="s">
        <v>16</v>
      </c>
      <c r="I181" s="21">
        <v>3.6</v>
      </c>
      <c r="J181" s="5" t="s">
        <v>17</v>
      </c>
      <c r="K181" s="22"/>
      <c r="L181" s="23">
        <v>11</v>
      </c>
      <c r="M181" s="8">
        <f t="shared" si="13"/>
        <v>838.98305084745766</v>
      </c>
      <c r="N181" s="9">
        <f t="shared" si="9"/>
        <v>746.69491525423734</v>
      </c>
      <c r="O181" s="10">
        <f t="shared" si="10"/>
        <v>881.1</v>
      </c>
      <c r="P181" s="11">
        <v>990</v>
      </c>
      <c r="Q181" s="12">
        <f>P181*1.8+8</f>
        <v>1790</v>
      </c>
    </row>
    <row r="182" spans="1:17" ht="15.75" customHeight="1">
      <c r="A182" s="63"/>
      <c r="B182" s="47"/>
      <c r="C182" s="47"/>
      <c r="D182" s="47"/>
      <c r="E182" s="47"/>
      <c r="F182" s="47"/>
      <c r="G182" s="48"/>
      <c r="H182" s="21" t="s">
        <v>16</v>
      </c>
      <c r="I182" s="21">
        <v>9.1</v>
      </c>
      <c r="J182" s="5" t="s">
        <v>17</v>
      </c>
      <c r="K182" s="22"/>
      <c r="L182" s="23">
        <v>11</v>
      </c>
      <c r="M182" s="8">
        <f t="shared" si="13"/>
        <v>1940.6779661016951</v>
      </c>
      <c r="N182" s="9">
        <f t="shared" si="9"/>
        <v>1727.2033898305087</v>
      </c>
      <c r="O182" s="10">
        <f t="shared" si="10"/>
        <v>2038.1000000000001</v>
      </c>
      <c r="P182" s="11">
        <v>2290</v>
      </c>
      <c r="Q182" s="12">
        <f>P182*1.8-32</f>
        <v>4090</v>
      </c>
    </row>
    <row r="183" spans="1:17" ht="15.75" customHeight="1">
      <c r="A183" s="63"/>
      <c r="B183" s="47"/>
      <c r="C183" s="47"/>
      <c r="D183" s="47"/>
      <c r="E183" s="47"/>
      <c r="F183" s="47"/>
      <c r="G183" s="48"/>
      <c r="H183" s="21" t="s">
        <v>16</v>
      </c>
      <c r="I183" s="21">
        <v>18.2</v>
      </c>
      <c r="J183" s="5" t="s">
        <v>17</v>
      </c>
      <c r="K183" s="22"/>
      <c r="L183" s="23">
        <v>11</v>
      </c>
      <c r="M183" s="8">
        <f t="shared" si="13"/>
        <v>3805.0847457627119</v>
      </c>
      <c r="N183" s="9">
        <f t="shared" si="9"/>
        <v>3386.5254237288136</v>
      </c>
      <c r="O183" s="10">
        <f t="shared" si="10"/>
        <v>3996.1</v>
      </c>
      <c r="P183" s="11">
        <v>4490</v>
      </c>
      <c r="Q183" s="12">
        <f>P183*1.8+8</f>
        <v>8090</v>
      </c>
    </row>
    <row r="184" spans="1:17" ht="15.75" customHeight="1">
      <c r="A184" s="63"/>
      <c r="B184" s="47">
        <v>57</v>
      </c>
      <c r="C184" s="47" t="s">
        <v>13</v>
      </c>
      <c r="D184" s="47" t="s">
        <v>84</v>
      </c>
      <c r="E184" s="47" t="s">
        <v>15</v>
      </c>
      <c r="F184" s="47" t="s">
        <v>66</v>
      </c>
      <c r="G184" s="48">
        <v>32099090</v>
      </c>
      <c r="H184" s="21" t="s">
        <v>16</v>
      </c>
      <c r="I184" s="21">
        <v>1</v>
      </c>
      <c r="J184" s="5" t="s">
        <v>17</v>
      </c>
      <c r="K184" s="22"/>
      <c r="L184" s="23">
        <v>11</v>
      </c>
      <c r="M184" s="8">
        <f t="shared" si="13"/>
        <v>500</v>
      </c>
      <c r="N184" s="9">
        <f t="shared" si="9"/>
        <v>445</v>
      </c>
      <c r="O184" s="10">
        <f t="shared" si="10"/>
        <v>525.1</v>
      </c>
      <c r="P184" s="11">
        <v>590</v>
      </c>
      <c r="Q184" s="12">
        <f>P184*1.8+28</f>
        <v>1090</v>
      </c>
    </row>
    <row r="185" spans="1:17" ht="15.75" customHeight="1">
      <c r="A185" s="63"/>
      <c r="B185" s="47"/>
      <c r="C185" s="47"/>
      <c r="D185" s="47"/>
      <c r="E185" s="47"/>
      <c r="F185" s="47"/>
      <c r="G185" s="48"/>
      <c r="H185" s="21" t="s">
        <v>16</v>
      </c>
      <c r="I185" s="21">
        <v>3.6</v>
      </c>
      <c r="J185" s="5" t="s">
        <v>17</v>
      </c>
      <c r="K185" s="22"/>
      <c r="L185" s="23">
        <v>11</v>
      </c>
      <c r="M185" s="8">
        <f t="shared" si="13"/>
        <v>1771.1864406779662</v>
      </c>
      <c r="N185" s="9">
        <f t="shared" si="9"/>
        <v>1576.3559322033898</v>
      </c>
      <c r="O185" s="10">
        <f t="shared" si="10"/>
        <v>1860.1</v>
      </c>
      <c r="P185" s="11">
        <v>2090</v>
      </c>
      <c r="Q185" s="12">
        <f>P185*1.8+28</f>
        <v>3790</v>
      </c>
    </row>
    <row r="186" spans="1:17" ht="15.75" customHeight="1">
      <c r="A186" s="63"/>
      <c r="B186" s="47"/>
      <c r="C186" s="47"/>
      <c r="D186" s="47"/>
      <c r="E186" s="47"/>
      <c r="F186" s="47"/>
      <c r="G186" s="48"/>
      <c r="H186" s="21" t="s">
        <v>16</v>
      </c>
      <c r="I186" s="21">
        <v>9.1</v>
      </c>
      <c r="J186" s="5" t="s">
        <v>17</v>
      </c>
      <c r="K186" s="22"/>
      <c r="L186" s="23">
        <v>11</v>
      </c>
      <c r="M186" s="8">
        <f t="shared" si="13"/>
        <v>4398.3050847457625</v>
      </c>
      <c r="N186" s="9">
        <f t="shared" si="9"/>
        <v>3914.4915254237285</v>
      </c>
      <c r="O186" s="10">
        <f t="shared" si="10"/>
        <v>4619.0999999999995</v>
      </c>
      <c r="P186" s="11">
        <v>5190</v>
      </c>
      <c r="Q186" s="12">
        <f>P186*1.8-52</f>
        <v>9290</v>
      </c>
    </row>
    <row r="187" spans="1:17" ht="15.75" customHeight="1">
      <c r="A187" s="63"/>
      <c r="B187" s="47"/>
      <c r="C187" s="47"/>
      <c r="D187" s="47"/>
      <c r="E187" s="47"/>
      <c r="F187" s="47"/>
      <c r="G187" s="48"/>
      <c r="H187" s="21" t="s">
        <v>16</v>
      </c>
      <c r="I187" s="21">
        <v>18.2</v>
      </c>
      <c r="J187" s="5" t="s">
        <v>17</v>
      </c>
      <c r="K187" s="22"/>
      <c r="L187" s="23">
        <v>11</v>
      </c>
      <c r="M187" s="8">
        <f t="shared" si="13"/>
        <v>8466.1016949152545</v>
      </c>
      <c r="N187" s="9">
        <f t="shared" si="9"/>
        <v>7534.8305084745762</v>
      </c>
      <c r="O187" s="10">
        <f t="shared" si="10"/>
        <v>8891.0999999999985</v>
      </c>
      <c r="P187" s="11">
        <v>9990</v>
      </c>
      <c r="Q187" s="12">
        <f>P187*1.8+8</f>
        <v>17990</v>
      </c>
    </row>
    <row r="188" spans="1:17" ht="15.75" customHeight="1">
      <c r="A188" s="63"/>
      <c r="B188" s="47">
        <v>58</v>
      </c>
      <c r="C188" s="47" t="s">
        <v>13</v>
      </c>
      <c r="D188" s="47" t="s">
        <v>85</v>
      </c>
      <c r="E188" s="47" t="s">
        <v>15</v>
      </c>
      <c r="F188" s="47" t="s">
        <v>66</v>
      </c>
      <c r="G188" s="48">
        <v>32099090</v>
      </c>
      <c r="H188" s="21" t="s">
        <v>16</v>
      </c>
      <c r="I188" s="21">
        <v>1</v>
      </c>
      <c r="J188" s="5" t="s">
        <v>17</v>
      </c>
      <c r="K188" s="22"/>
      <c r="L188" s="23">
        <v>11</v>
      </c>
      <c r="M188" s="8">
        <f t="shared" si="13"/>
        <v>754.2372881355933</v>
      </c>
      <c r="N188" s="9">
        <f t="shared" si="9"/>
        <v>671.27118644067809</v>
      </c>
      <c r="O188" s="10">
        <f t="shared" si="10"/>
        <v>792.10000000000014</v>
      </c>
      <c r="P188" s="11">
        <v>890</v>
      </c>
      <c r="Q188" s="12">
        <f>P188*1.8-12</f>
        <v>1590</v>
      </c>
    </row>
    <row r="189" spans="1:17" ht="15.75" customHeight="1">
      <c r="A189" s="63"/>
      <c r="B189" s="47"/>
      <c r="C189" s="47"/>
      <c r="D189" s="47"/>
      <c r="E189" s="47"/>
      <c r="F189" s="47"/>
      <c r="G189" s="48"/>
      <c r="H189" s="21" t="s">
        <v>16</v>
      </c>
      <c r="I189" s="21">
        <v>3.6</v>
      </c>
      <c r="J189" s="5" t="s">
        <v>17</v>
      </c>
      <c r="K189" s="22"/>
      <c r="L189" s="23">
        <v>11</v>
      </c>
      <c r="M189" s="8">
        <f t="shared" si="13"/>
        <v>2618.6440677966102</v>
      </c>
      <c r="N189" s="9">
        <f t="shared" si="9"/>
        <v>2330.593220338983</v>
      </c>
      <c r="O189" s="10">
        <f t="shared" si="10"/>
        <v>2750.1</v>
      </c>
      <c r="P189" s="11">
        <v>3090</v>
      </c>
      <c r="Q189" s="12">
        <f>P189*1.8+28</f>
        <v>5590</v>
      </c>
    </row>
    <row r="190" spans="1:17" ht="15.75" customHeight="1">
      <c r="A190" s="63"/>
      <c r="B190" s="47"/>
      <c r="C190" s="47"/>
      <c r="D190" s="47"/>
      <c r="E190" s="47"/>
      <c r="F190" s="47"/>
      <c r="G190" s="48"/>
      <c r="H190" s="21" t="s">
        <v>16</v>
      </c>
      <c r="I190" s="21">
        <v>9.1</v>
      </c>
      <c r="J190" s="5" t="s">
        <v>17</v>
      </c>
      <c r="K190" s="22"/>
      <c r="L190" s="23">
        <v>11</v>
      </c>
      <c r="M190" s="8">
        <f t="shared" si="13"/>
        <v>6432.203389830509</v>
      </c>
      <c r="N190" s="9">
        <f t="shared" si="9"/>
        <v>5724.6610169491532</v>
      </c>
      <c r="O190" s="10">
        <f t="shared" si="10"/>
        <v>6755.1</v>
      </c>
      <c r="P190" s="11">
        <v>7590</v>
      </c>
      <c r="Q190" s="12">
        <f>P190*1.8+28</f>
        <v>13690</v>
      </c>
    </row>
    <row r="191" spans="1:17" ht="15.75" customHeight="1">
      <c r="A191" s="63"/>
      <c r="B191" s="47"/>
      <c r="C191" s="47"/>
      <c r="D191" s="47"/>
      <c r="E191" s="47"/>
      <c r="F191" s="47"/>
      <c r="G191" s="48"/>
      <c r="H191" s="21" t="s">
        <v>16</v>
      </c>
      <c r="I191" s="21">
        <v>18.2</v>
      </c>
      <c r="J191" s="5" t="s">
        <v>17</v>
      </c>
      <c r="K191" s="22"/>
      <c r="L191" s="23">
        <v>11</v>
      </c>
      <c r="M191" s="8">
        <f t="shared" si="13"/>
        <v>12703.389830508475</v>
      </c>
      <c r="N191" s="9">
        <f t="shared" si="9"/>
        <v>11306.016949152543</v>
      </c>
      <c r="O191" s="10">
        <f t="shared" si="10"/>
        <v>13341.1</v>
      </c>
      <c r="P191" s="11">
        <v>14990</v>
      </c>
      <c r="Q191" s="12">
        <f>P191*1.8+8</f>
        <v>26990</v>
      </c>
    </row>
    <row r="192" spans="1:17" ht="15.75" customHeight="1">
      <c r="A192" s="63"/>
      <c r="B192" s="47">
        <v>59</v>
      </c>
      <c r="C192" s="47" t="s">
        <v>13</v>
      </c>
      <c r="D192" s="47" t="s">
        <v>86</v>
      </c>
      <c r="E192" s="47" t="s">
        <v>15</v>
      </c>
      <c r="F192" s="47" t="s">
        <v>87</v>
      </c>
      <c r="G192" s="48">
        <v>32099090</v>
      </c>
      <c r="H192" s="21" t="s">
        <v>16</v>
      </c>
      <c r="I192" s="21">
        <v>1</v>
      </c>
      <c r="J192" s="5" t="s">
        <v>17</v>
      </c>
      <c r="K192" s="29"/>
      <c r="L192" s="23">
        <v>14</v>
      </c>
      <c r="M192" s="8">
        <f t="shared" si="13"/>
        <v>330.50847457627123</v>
      </c>
      <c r="N192" s="9">
        <f t="shared" si="9"/>
        <v>284.23728813559325</v>
      </c>
      <c r="O192" s="10">
        <f t="shared" si="10"/>
        <v>335.40000000000003</v>
      </c>
      <c r="P192" s="30">
        <v>390</v>
      </c>
      <c r="Q192" s="12">
        <f>P192*1.8-12</f>
        <v>690</v>
      </c>
    </row>
    <row r="193" spans="1:17" ht="15.75" customHeight="1">
      <c r="A193" s="63"/>
      <c r="B193" s="47"/>
      <c r="C193" s="47"/>
      <c r="D193" s="47"/>
      <c r="E193" s="47"/>
      <c r="F193" s="47"/>
      <c r="G193" s="48"/>
      <c r="H193" s="21" t="s">
        <v>16</v>
      </c>
      <c r="I193" s="21">
        <v>3.6</v>
      </c>
      <c r="J193" s="5" t="s">
        <v>17</v>
      </c>
      <c r="K193" s="29"/>
      <c r="L193" s="23">
        <v>14</v>
      </c>
      <c r="M193" s="8">
        <f t="shared" si="13"/>
        <v>1177.9661016949153</v>
      </c>
      <c r="N193" s="9">
        <f t="shared" si="9"/>
        <v>1013.0508474576271</v>
      </c>
      <c r="O193" s="10">
        <f t="shared" si="10"/>
        <v>1195.3999999999999</v>
      </c>
      <c r="P193" s="30">
        <v>1390</v>
      </c>
      <c r="Q193" s="12">
        <f>P193*1.8-12</f>
        <v>2490</v>
      </c>
    </row>
    <row r="194" spans="1:17" ht="15.75" customHeight="1">
      <c r="A194" s="63"/>
      <c r="B194" s="47"/>
      <c r="C194" s="47"/>
      <c r="D194" s="47"/>
      <c r="E194" s="47"/>
      <c r="F194" s="47"/>
      <c r="G194" s="48"/>
      <c r="H194" s="21" t="s">
        <v>16</v>
      </c>
      <c r="I194" s="21">
        <v>9.1</v>
      </c>
      <c r="J194" s="5" t="s">
        <v>17</v>
      </c>
      <c r="K194" s="29"/>
      <c r="L194" s="23">
        <v>14</v>
      </c>
      <c r="M194" s="8">
        <f t="shared" si="13"/>
        <v>2872.8813559322034</v>
      </c>
      <c r="N194" s="9">
        <f t="shared" si="9"/>
        <v>2470.6779661016949</v>
      </c>
      <c r="O194" s="10">
        <f t="shared" si="10"/>
        <v>2915.3999999999996</v>
      </c>
      <c r="P194" s="30">
        <v>3390</v>
      </c>
      <c r="Q194" s="12">
        <f>P194*1.8-12</f>
        <v>6090</v>
      </c>
    </row>
    <row r="195" spans="1:17" ht="15.75" customHeight="1">
      <c r="A195" s="63"/>
      <c r="B195" s="47"/>
      <c r="C195" s="47"/>
      <c r="D195" s="47"/>
      <c r="E195" s="47"/>
      <c r="F195" s="47"/>
      <c r="G195" s="48"/>
      <c r="H195" s="21" t="s">
        <v>16</v>
      </c>
      <c r="I195" s="21">
        <v>18.2</v>
      </c>
      <c r="J195" s="5" t="s">
        <v>17</v>
      </c>
      <c r="K195" s="29"/>
      <c r="L195" s="23">
        <v>14</v>
      </c>
      <c r="M195" s="8">
        <f t="shared" si="13"/>
        <v>5500</v>
      </c>
      <c r="N195" s="9">
        <f t="shared" si="9"/>
        <v>4730</v>
      </c>
      <c r="O195" s="10">
        <f t="shared" si="10"/>
        <v>5581.4</v>
      </c>
      <c r="P195" s="9">
        <v>6490</v>
      </c>
      <c r="Q195" s="12">
        <f>P195*1.8+8</f>
        <v>11690</v>
      </c>
    </row>
    <row r="196" spans="1:17" ht="15.75" customHeight="1">
      <c r="A196" s="63"/>
      <c r="B196" s="26">
        <v>60</v>
      </c>
      <c r="C196" s="1" t="s">
        <v>13</v>
      </c>
      <c r="D196" s="1" t="s">
        <v>141</v>
      </c>
      <c r="E196" s="1" t="s">
        <v>66</v>
      </c>
      <c r="F196" s="1"/>
      <c r="G196" s="2">
        <v>39095000</v>
      </c>
      <c r="H196" s="21" t="s">
        <v>16</v>
      </c>
      <c r="I196" s="21">
        <v>1</v>
      </c>
      <c r="J196" s="5" t="s">
        <v>17</v>
      </c>
      <c r="K196" s="22"/>
      <c r="L196" s="23">
        <v>11</v>
      </c>
      <c r="M196" s="8">
        <f t="shared" si="13"/>
        <v>4228.8135593220341</v>
      </c>
      <c r="N196" s="9">
        <f t="shared" si="9"/>
        <v>3763.6440677966102</v>
      </c>
      <c r="O196" s="10">
        <f t="shared" si="10"/>
        <v>4441.0999999999995</v>
      </c>
      <c r="P196" s="9">
        <v>4990</v>
      </c>
      <c r="Q196" s="41">
        <f>P196*1.8+8</f>
        <v>8990</v>
      </c>
    </row>
    <row r="197" spans="1:17" ht="15.75" customHeight="1">
      <c r="A197" s="63"/>
      <c r="B197" s="26">
        <v>61</v>
      </c>
      <c r="C197" s="1" t="s">
        <v>13</v>
      </c>
      <c r="D197" s="1" t="s">
        <v>141</v>
      </c>
      <c r="E197" s="1" t="s">
        <v>66</v>
      </c>
      <c r="F197" s="1" t="s">
        <v>142</v>
      </c>
      <c r="G197" s="2">
        <v>39095000</v>
      </c>
      <c r="H197" s="21" t="s">
        <v>16</v>
      </c>
      <c r="I197" s="21"/>
      <c r="J197" s="5"/>
      <c r="K197" s="22"/>
      <c r="L197" s="23">
        <v>11</v>
      </c>
      <c r="M197" s="52" t="s">
        <v>143</v>
      </c>
      <c r="N197" s="53"/>
      <c r="O197" s="53"/>
      <c r="P197" s="53"/>
      <c r="Q197" s="54"/>
    </row>
    <row r="198" spans="1:17" ht="15.75" customHeight="1">
      <c r="A198" s="63"/>
      <c r="B198" s="47">
        <v>62</v>
      </c>
      <c r="C198" s="47" t="s">
        <v>13</v>
      </c>
      <c r="D198" s="47" t="s">
        <v>89</v>
      </c>
      <c r="E198" s="47" t="s">
        <v>15</v>
      </c>
      <c r="F198" s="47"/>
      <c r="G198" s="48"/>
      <c r="H198" s="21" t="s">
        <v>16</v>
      </c>
      <c r="I198" s="21">
        <v>5</v>
      </c>
      <c r="J198" s="5" t="s">
        <v>28</v>
      </c>
      <c r="K198" s="29"/>
      <c r="L198" s="23">
        <v>14</v>
      </c>
      <c r="M198" s="8">
        <f t="shared" ref="M198:M205" si="14">P198/1.18</f>
        <v>584.74576271186447</v>
      </c>
      <c r="N198" s="9">
        <f t="shared" ref="N198:N205" si="15">M198-M198*L198%</f>
        <v>502.88135593220341</v>
      </c>
      <c r="O198" s="10">
        <f t="shared" ref="O198:O205" si="16">N198*1.18</f>
        <v>593.4</v>
      </c>
      <c r="P198" s="11">
        <v>690</v>
      </c>
      <c r="Q198" s="12">
        <f>P198*1.8+48</f>
        <v>1290</v>
      </c>
    </row>
    <row r="199" spans="1:17" ht="15.75" customHeight="1">
      <c r="A199" s="63"/>
      <c r="B199" s="47"/>
      <c r="C199" s="47"/>
      <c r="D199" s="47"/>
      <c r="E199" s="47"/>
      <c r="F199" s="47"/>
      <c r="G199" s="48"/>
      <c r="H199" s="21" t="s">
        <v>16</v>
      </c>
      <c r="I199" s="21">
        <v>25</v>
      </c>
      <c r="J199" s="5" t="s">
        <v>28</v>
      </c>
      <c r="K199" s="29"/>
      <c r="L199" s="23">
        <v>14</v>
      </c>
      <c r="M199" s="8">
        <f t="shared" si="14"/>
        <v>2788.1355932203392</v>
      </c>
      <c r="N199" s="9">
        <f t="shared" si="15"/>
        <v>2397.7966101694915</v>
      </c>
      <c r="O199" s="10">
        <f t="shared" si="16"/>
        <v>2829.3999999999996</v>
      </c>
      <c r="P199" s="11">
        <v>3290</v>
      </c>
      <c r="Q199" s="12">
        <f>P199*1.8-32</f>
        <v>5890</v>
      </c>
    </row>
    <row r="200" spans="1:17" ht="15.75" customHeight="1">
      <c r="A200" s="63"/>
      <c r="B200" s="59">
        <v>63</v>
      </c>
      <c r="C200" s="59" t="s">
        <v>13</v>
      </c>
      <c r="D200" s="59" t="s">
        <v>144</v>
      </c>
      <c r="E200" s="59" t="s">
        <v>15</v>
      </c>
      <c r="F200" s="59" t="s">
        <v>145</v>
      </c>
      <c r="G200" s="49">
        <v>38249090</v>
      </c>
      <c r="H200" s="21" t="s">
        <v>24</v>
      </c>
      <c r="I200" s="21">
        <v>3</v>
      </c>
      <c r="J200" s="5" t="s">
        <v>17</v>
      </c>
      <c r="K200" s="29" t="s">
        <v>53</v>
      </c>
      <c r="L200" s="23">
        <v>15</v>
      </c>
      <c r="M200" s="8">
        <f t="shared" si="14"/>
        <v>2533.898305084746</v>
      </c>
      <c r="N200" s="9">
        <f t="shared" si="15"/>
        <v>2153.8135593220341</v>
      </c>
      <c r="O200" s="10">
        <f t="shared" si="16"/>
        <v>2541.5</v>
      </c>
      <c r="P200" s="9">
        <v>2990</v>
      </c>
      <c r="Q200" s="41">
        <f>P200*1.8+8</f>
        <v>5390</v>
      </c>
    </row>
    <row r="201" spans="1:17" ht="15.75" customHeight="1">
      <c r="A201" s="63"/>
      <c r="B201" s="60"/>
      <c r="C201" s="60"/>
      <c r="D201" s="60"/>
      <c r="E201" s="60"/>
      <c r="F201" s="60"/>
      <c r="G201" s="50"/>
      <c r="H201" s="21" t="s">
        <v>24</v>
      </c>
      <c r="I201" s="21">
        <v>15</v>
      </c>
      <c r="J201" s="5" t="s">
        <v>17</v>
      </c>
      <c r="K201" s="29" t="s">
        <v>53</v>
      </c>
      <c r="L201" s="23">
        <v>15</v>
      </c>
      <c r="M201" s="8">
        <f t="shared" si="14"/>
        <v>12449.152542372882</v>
      </c>
      <c r="N201" s="9">
        <f t="shared" si="15"/>
        <v>10581.77966101695</v>
      </c>
      <c r="O201" s="10">
        <f t="shared" si="16"/>
        <v>12486.5</v>
      </c>
      <c r="P201" s="9">
        <v>14690</v>
      </c>
      <c r="Q201" s="41">
        <f>P201*1.8-52</f>
        <v>26390</v>
      </c>
    </row>
    <row r="202" spans="1:17" ht="15.75" customHeight="1">
      <c r="A202" s="64"/>
      <c r="B202" s="61"/>
      <c r="C202" s="61"/>
      <c r="D202" s="61"/>
      <c r="E202" s="61"/>
      <c r="F202" s="61"/>
      <c r="G202" s="51"/>
      <c r="H202" s="21" t="s">
        <v>24</v>
      </c>
      <c r="I202" s="21">
        <v>30</v>
      </c>
      <c r="J202" s="5" t="s">
        <v>17</v>
      </c>
      <c r="K202" s="29" t="s">
        <v>53</v>
      </c>
      <c r="L202" s="23">
        <v>15</v>
      </c>
      <c r="M202" s="8">
        <f t="shared" si="14"/>
        <v>24567.796610169491</v>
      </c>
      <c r="N202" s="9">
        <f t="shared" si="15"/>
        <v>20882.627118644068</v>
      </c>
      <c r="O202" s="10">
        <f t="shared" si="16"/>
        <v>24641.5</v>
      </c>
      <c r="P202" s="9">
        <v>28990</v>
      </c>
      <c r="Q202" s="41">
        <f>P202*1.8+8</f>
        <v>52190</v>
      </c>
    </row>
    <row r="203" spans="1:17" ht="15.75" customHeight="1">
      <c r="A203" s="81" t="s">
        <v>90</v>
      </c>
      <c r="B203" s="59">
        <v>64</v>
      </c>
      <c r="C203" s="59" t="s">
        <v>13</v>
      </c>
      <c r="D203" s="59" t="s">
        <v>66</v>
      </c>
      <c r="E203" s="59" t="s">
        <v>15</v>
      </c>
      <c r="F203" s="42"/>
      <c r="G203" s="49">
        <v>32100040</v>
      </c>
      <c r="H203" s="21" t="s">
        <v>16</v>
      </c>
      <c r="I203" s="21">
        <v>1</v>
      </c>
      <c r="J203" s="5" t="s">
        <v>17</v>
      </c>
      <c r="K203" s="22"/>
      <c r="L203" s="23">
        <v>11</v>
      </c>
      <c r="M203" s="8">
        <f t="shared" si="14"/>
        <v>295.76271186440681</v>
      </c>
      <c r="N203" s="9">
        <f t="shared" si="15"/>
        <v>263.22881355932208</v>
      </c>
      <c r="O203" s="10">
        <f t="shared" si="16"/>
        <v>310.61</v>
      </c>
      <c r="P203" s="9">
        <v>349</v>
      </c>
      <c r="Q203" s="41">
        <f>P203*1.8-38.2</f>
        <v>590</v>
      </c>
    </row>
    <row r="204" spans="1:17" ht="15.75" customHeight="1">
      <c r="A204" s="82"/>
      <c r="B204" s="60"/>
      <c r="C204" s="60"/>
      <c r="D204" s="60"/>
      <c r="E204" s="60"/>
      <c r="F204" s="43"/>
      <c r="G204" s="50"/>
      <c r="H204" s="21" t="s">
        <v>16</v>
      </c>
      <c r="I204" s="21">
        <v>5</v>
      </c>
      <c r="J204" s="5" t="s">
        <v>17</v>
      </c>
      <c r="K204" s="22"/>
      <c r="L204" s="23">
        <v>11</v>
      </c>
      <c r="M204" s="8">
        <f t="shared" si="14"/>
        <v>1347.457627118644</v>
      </c>
      <c r="N204" s="9">
        <f t="shared" si="15"/>
        <v>1199.2372881355932</v>
      </c>
      <c r="O204" s="10">
        <f t="shared" si="16"/>
        <v>1415.1</v>
      </c>
      <c r="P204" s="9">
        <v>1590</v>
      </c>
      <c r="Q204" s="41">
        <f>P204*1.8+28</f>
        <v>2890</v>
      </c>
    </row>
    <row r="205" spans="1:17" ht="15.75" customHeight="1">
      <c r="A205" s="82"/>
      <c r="B205" s="61"/>
      <c r="C205" s="61"/>
      <c r="D205" s="61"/>
      <c r="E205" s="61"/>
      <c r="F205" s="44"/>
      <c r="G205" s="51"/>
      <c r="H205" s="21" t="s">
        <v>16</v>
      </c>
      <c r="I205" s="21">
        <v>20</v>
      </c>
      <c r="J205" s="5" t="s">
        <v>17</v>
      </c>
      <c r="K205" s="22"/>
      <c r="L205" s="23">
        <v>11</v>
      </c>
      <c r="M205" s="8">
        <f t="shared" si="14"/>
        <v>5076.2711864406783</v>
      </c>
      <c r="N205" s="9">
        <f t="shared" si="15"/>
        <v>4517.8813559322034</v>
      </c>
      <c r="O205" s="10">
        <f t="shared" si="16"/>
        <v>5331.0999999999995</v>
      </c>
      <c r="P205" s="9">
        <v>5990</v>
      </c>
      <c r="Q205" s="41">
        <f>P205*1.8+8</f>
        <v>10790</v>
      </c>
    </row>
    <row r="206" spans="1:17" ht="15.75" customHeight="1">
      <c r="A206" s="82"/>
      <c r="B206" s="47">
        <v>65</v>
      </c>
      <c r="C206" s="47" t="s">
        <v>13</v>
      </c>
      <c r="D206" s="47" t="s">
        <v>91</v>
      </c>
      <c r="E206" s="47" t="s">
        <v>15</v>
      </c>
      <c r="F206" s="47"/>
      <c r="G206" s="48">
        <v>39100090</v>
      </c>
      <c r="H206" s="21" t="s">
        <v>24</v>
      </c>
      <c r="I206" s="21">
        <v>1</v>
      </c>
      <c r="J206" s="5" t="s">
        <v>17</v>
      </c>
      <c r="K206" s="22"/>
      <c r="L206" s="23">
        <v>11</v>
      </c>
      <c r="M206" s="8">
        <f t="shared" si="13"/>
        <v>838.98305084745766</v>
      </c>
      <c r="N206" s="9">
        <f t="shared" si="9"/>
        <v>746.69491525423734</v>
      </c>
      <c r="O206" s="10">
        <f t="shared" si="10"/>
        <v>881.1</v>
      </c>
      <c r="P206" s="11">
        <v>990</v>
      </c>
      <c r="Q206" s="12">
        <f>P206*1.8+8</f>
        <v>1790</v>
      </c>
    </row>
    <row r="207" spans="1:17" ht="15.75" customHeight="1">
      <c r="A207" s="82"/>
      <c r="B207" s="47"/>
      <c r="C207" s="47"/>
      <c r="D207" s="47"/>
      <c r="E207" s="47"/>
      <c r="F207" s="47"/>
      <c r="G207" s="48"/>
      <c r="H207" s="21" t="s">
        <v>24</v>
      </c>
      <c r="I207" s="21">
        <v>5</v>
      </c>
      <c r="J207" s="5" t="s">
        <v>17</v>
      </c>
      <c r="K207" s="22"/>
      <c r="L207" s="23">
        <v>11</v>
      </c>
      <c r="M207" s="8">
        <f t="shared" si="13"/>
        <v>4144.0677966101694</v>
      </c>
      <c r="N207" s="9">
        <f t="shared" si="9"/>
        <v>3688.2203389830506</v>
      </c>
      <c r="O207" s="10">
        <f t="shared" si="10"/>
        <v>4352.0999999999995</v>
      </c>
      <c r="P207" s="11">
        <v>4890</v>
      </c>
      <c r="Q207" s="12">
        <f>P207*1.8-12</f>
        <v>8790</v>
      </c>
    </row>
    <row r="208" spans="1:17" ht="15.75" customHeight="1">
      <c r="A208" s="82"/>
      <c r="B208" s="47"/>
      <c r="C208" s="47"/>
      <c r="D208" s="47"/>
      <c r="E208" s="47"/>
      <c r="F208" s="47"/>
      <c r="G208" s="48"/>
      <c r="H208" s="21" t="s">
        <v>24</v>
      </c>
      <c r="I208" s="21">
        <v>20</v>
      </c>
      <c r="J208" s="5" t="s">
        <v>17</v>
      </c>
      <c r="K208" s="22"/>
      <c r="L208" s="23">
        <v>11</v>
      </c>
      <c r="M208" s="8">
        <f t="shared" si="13"/>
        <v>16093.220338983052</v>
      </c>
      <c r="N208" s="9">
        <f t="shared" si="9"/>
        <v>14322.966101694916</v>
      </c>
      <c r="O208" s="10">
        <f t="shared" si="10"/>
        <v>16901.099999999999</v>
      </c>
      <c r="P208" s="11">
        <v>18990</v>
      </c>
      <c r="Q208" s="12">
        <f>P208*1.8-192</f>
        <v>33990</v>
      </c>
    </row>
    <row r="209" spans="1:17" ht="15.75" customHeight="1">
      <c r="A209" s="82"/>
      <c r="B209" s="47">
        <v>66</v>
      </c>
      <c r="C209" s="47" t="s">
        <v>13</v>
      </c>
      <c r="D209" s="47" t="s">
        <v>92</v>
      </c>
      <c r="E209" s="47" t="s">
        <v>15</v>
      </c>
      <c r="F209" s="47" t="s">
        <v>80</v>
      </c>
      <c r="G209" s="48">
        <v>39095000</v>
      </c>
      <c r="H209" s="21" t="s">
        <v>24</v>
      </c>
      <c r="I209" s="21">
        <v>1</v>
      </c>
      <c r="J209" s="5" t="s">
        <v>17</v>
      </c>
      <c r="K209" s="28" t="s">
        <v>93</v>
      </c>
      <c r="L209" s="23">
        <v>11</v>
      </c>
      <c r="M209" s="8">
        <f t="shared" si="13"/>
        <v>1008.4745762711865</v>
      </c>
      <c r="N209" s="9">
        <f t="shared" ref="N209:N312" si="17">M209-M209*L209%</f>
        <v>897.54237288135596</v>
      </c>
      <c r="O209" s="10">
        <f t="shared" ref="O209:O368" si="18">N209*1.18</f>
        <v>1059.0999999999999</v>
      </c>
      <c r="P209" s="11">
        <v>1190</v>
      </c>
      <c r="Q209" s="12">
        <f>P209*1.8-52</f>
        <v>2090</v>
      </c>
    </row>
    <row r="210" spans="1:17" ht="15.75" customHeight="1">
      <c r="A210" s="82"/>
      <c r="B210" s="47"/>
      <c r="C210" s="47"/>
      <c r="D210" s="47"/>
      <c r="E210" s="47"/>
      <c r="F210" s="47"/>
      <c r="G210" s="48"/>
      <c r="H210" s="21" t="s">
        <v>24</v>
      </c>
      <c r="I210" s="21">
        <v>5</v>
      </c>
      <c r="J210" s="5" t="s">
        <v>17</v>
      </c>
      <c r="K210" s="28" t="s">
        <v>93</v>
      </c>
      <c r="L210" s="23">
        <v>11</v>
      </c>
      <c r="M210" s="8">
        <f t="shared" si="13"/>
        <v>4991.5254237288136</v>
      </c>
      <c r="N210" s="9">
        <f t="shared" si="17"/>
        <v>4442.4576271186443</v>
      </c>
      <c r="O210" s="10">
        <f t="shared" si="18"/>
        <v>5242.1000000000004</v>
      </c>
      <c r="P210" s="11">
        <v>5890</v>
      </c>
      <c r="Q210" s="12">
        <f>P210*1.8-12</f>
        <v>10590</v>
      </c>
    </row>
    <row r="211" spans="1:17" ht="15.75" customHeight="1">
      <c r="A211" s="82"/>
      <c r="B211" s="47"/>
      <c r="C211" s="47"/>
      <c r="D211" s="47"/>
      <c r="E211" s="47"/>
      <c r="F211" s="47"/>
      <c r="G211" s="48"/>
      <c r="H211" s="21" t="s">
        <v>24</v>
      </c>
      <c r="I211" s="21">
        <v>20</v>
      </c>
      <c r="J211" s="5" t="s">
        <v>17</v>
      </c>
      <c r="K211" s="28" t="s">
        <v>93</v>
      </c>
      <c r="L211" s="23">
        <v>11</v>
      </c>
      <c r="M211" s="8">
        <f t="shared" si="13"/>
        <v>19906.77966101695</v>
      </c>
      <c r="N211" s="9">
        <f t="shared" si="17"/>
        <v>17717.033898305086</v>
      </c>
      <c r="O211" s="10">
        <f t="shared" si="18"/>
        <v>20906.100000000002</v>
      </c>
      <c r="P211" s="11">
        <v>23490</v>
      </c>
      <c r="Q211" s="12">
        <f t="shared" ref="Q211:Q223" si="19">P211*1.8+8</f>
        <v>42290</v>
      </c>
    </row>
    <row r="212" spans="1:17" ht="15.75" customHeight="1">
      <c r="A212" s="82"/>
      <c r="B212" s="59">
        <v>67</v>
      </c>
      <c r="C212" s="59" t="s">
        <v>13</v>
      </c>
      <c r="D212" s="59" t="s">
        <v>92</v>
      </c>
      <c r="E212" s="59" t="s">
        <v>15</v>
      </c>
      <c r="F212" s="59" t="s">
        <v>146</v>
      </c>
      <c r="G212" s="49">
        <v>32091090</v>
      </c>
      <c r="H212" s="21" t="s">
        <v>16</v>
      </c>
      <c r="I212" s="21">
        <v>1</v>
      </c>
      <c r="J212" s="5" t="s">
        <v>17</v>
      </c>
      <c r="K212" s="22"/>
      <c r="L212" s="23">
        <v>11</v>
      </c>
      <c r="M212" s="8">
        <f t="shared" si="13"/>
        <v>415.25423728813564</v>
      </c>
      <c r="N212" s="9">
        <f t="shared" si="17"/>
        <v>369.57627118644075</v>
      </c>
      <c r="O212" s="10">
        <f t="shared" si="18"/>
        <v>436.10000000000008</v>
      </c>
      <c r="P212" s="9">
        <v>490</v>
      </c>
      <c r="Q212" s="41">
        <f>P212*1.8+8</f>
        <v>890</v>
      </c>
    </row>
    <row r="213" spans="1:17" ht="15.75" customHeight="1">
      <c r="A213" s="82"/>
      <c r="B213" s="60"/>
      <c r="C213" s="60"/>
      <c r="D213" s="60"/>
      <c r="E213" s="60"/>
      <c r="F213" s="60"/>
      <c r="G213" s="50"/>
      <c r="H213" s="21" t="s">
        <v>16</v>
      </c>
      <c r="I213" s="21">
        <v>3.6</v>
      </c>
      <c r="J213" s="5" t="s">
        <v>17</v>
      </c>
      <c r="K213" s="22"/>
      <c r="L213" s="23">
        <v>11</v>
      </c>
      <c r="M213" s="8">
        <f t="shared" si="13"/>
        <v>1262.7118644067798</v>
      </c>
      <c r="N213" s="9">
        <f t="shared" si="17"/>
        <v>1123.8135593220341</v>
      </c>
      <c r="O213" s="10">
        <f t="shared" si="18"/>
        <v>1326.1000000000001</v>
      </c>
      <c r="P213" s="9">
        <v>1490</v>
      </c>
      <c r="Q213" s="41">
        <f>P213*1.8+8</f>
        <v>2690</v>
      </c>
    </row>
    <row r="214" spans="1:17" ht="15.75" customHeight="1">
      <c r="A214" s="82"/>
      <c r="B214" s="60"/>
      <c r="C214" s="60"/>
      <c r="D214" s="60"/>
      <c r="E214" s="60"/>
      <c r="F214" s="60"/>
      <c r="G214" s="50"/>
      <c r="H214" s="21" t="s">
        <v>16</v>
      </c>
      <c r="I214" s="21">
        <v>9.1</v>
      </c>
      <c r="J214" s="5" t="s">
        <v>17</v>
      </c>
      <c r="K214" s="22"/>
      <c r="L214" s="23">
        <v>11</v>
      </c>
      <c r="M214" s="8">
        <f t="shared" si="13"/>
        <v>3042.3728813559323</v>
      </c>
      <c r="N214" s="9">
        <f t="shared" si="17"/>
        <v>2707.7118644067796</v>
      </c>
      <c r="O214" s="10">
        <f t="shared" si="18"/>
        <v>3195.1</v>
      </c>
      <c r="P214" s="9">
        <v>3590</v>
      </c>
      <c r="Q214" s="41">
        <f>P214*1.8+28</f>
        <v>6490</v>
      </c>
    </row>
    <row r="215" spans="1:17" ht="15.75" customHeight="1">
      <c r="A215" s="82"/>
      <c r="B215" s="61"/>
      <c r="C215" s="61"/>
      <c r="D215" s="61"/>
      <c r="E215" s="61"/>
      <c r="F215" s="61"/>
      <c r="G215" s="51"/>
      <c r="H215" s="21" t="s">
        <v>16</v>
      </c>
      <c r="I215" s="21">
        <v>18.2</v>
      </c>
      <c r="J215" s="5" t="s">
        <v>17</v>
      </c>
      <c r="K215" s="22"/>
      <c r="L215" s="23">
        <v>11</v>
      </c>
      <c r="M215" s="8">
        <f t="shared" si="13"/>
        <v>5923.7288135593226</v>
      </c>
      <c r="N215" s="9">
        <f t="shared" si="17"/>
        <v>5272.1186440677975</v>
      </c>
      <c r="O215" s="10">
        <f t="shared" si="18"/>
        <v>6221.1</v>
      </c>
      <c r="P215" s="9">
        <v>6990</v>
      </c>
      <c r="Q215" s="41">
        <f t="shared" ref="Q215" si="20">P215*1.8+8</f>
        <v>12590</v>
      </c>
    </row>
    <row r="216" spans="1:17" ht="15.75" customHeight="1">
      <c r="A216" s="82"/>
      <c r="B216" s="59">
        <v>68</v>
      </c>
      <c r="C216" s="59" t="s">
        <v>13</v>
      </c>
      <c r="D216" s="59" t="s">
        <v>92</v>
      </c>
      <c r="E216" s="59" t="s">
        <v>15</v>
      </c>
      <c r="F216" s="59" t="s">
        <v>147</v>
      </c>
      <c r="G216" s="49">
        <v>39095000</v>
      </c>
      <c r="H216" s="21" t="s">
        <v>24</v>
      </c>
      <c r="I216" s="21">
        <v>1</v>
      </c>
      <c r="J216" s="5" t="s">
        <v>17</v>
      </c>
      <c r="K216" s="28" t="s">
        <v>81</v>
      </c>
      <c r="L216" s="23">
        <v>11</v>
      </c>
      <c r="M216" s="8">
        <f t="shared" si="13"/>
        <v>1093.2203389830509</v>
      </c>
      <c r="N216" s="9">
        <f t="shared" si="17"/>
        <v>972.96610169491521</v>
      </c>
      <c r="O216" s="10">
        <f t="shared" si="18"/>
        <v>1148.0999999999999</v>
      </c>
      <c r="P216" s="9">
        <v>1290</v>
      </c>
      <c r="Q216" s="41">
        <f>P216*1.8-32</f>
        <v>2290</v>
      </c>
    </row>
    <row r="217" spans="1:17" ht="15.75" customHeight="1">
      <c r="A217" s="82"/>
      <c r="B217" s="60"/>
      <c r="C217" s="60"/>
      <c r="D217" s="60"/>
      <c r="E217" s="60"/>
      <c r="F217" s="60"/>
      <c r="G217" s="50"/>
      <c r="H217" s="21" t="s">
        <v>24</v>
      </c>
      <c r="I217" s="21">
        <v>5</v>
      </c>
      <c r="J217" s="5" t="s">
        <v>17</v>
      </c>
      <c r="K217" s="28" t="s">
        <v>81</v>
      </c>
      <c r="L217" s="23">
        <v>11</v>
      </c>
      <c r="M217" s="8">
        <f t="shared" si="13"/>
        <v>5415.2542372881362</v>
      </c>
      <c r="N217" s="9">
        <f t="shared" si="17"/>
        <v>4819.5762711864409</v>
      </c>
      <c r="O217" s="10">
        <f t="shared" si="18"/>
        <v>5687.1</v>
      </c>
      <c r="P217" s="9">
        <v>6390</v>
      </c>
      <c r="Q217" s="41">
        <f>P217*1.8-12</f>
        <v>11490</v>
      </c>
    </row>
    <row r="218" spans="1:17" ht="15.75" customHeight="1">
      <c r="A218" s="82"/>
      <c r="B218" s="61"/>
      <c r="C218" s="61"/>
      <c r="D218" s="61"/>
      <c r="E218" s="61"/>
      <c r="F218" s="61"/>
      <c r="G218" s="51"/>
      <c r="H218" s="21" t="s">
        <v>24</v>
      </c>
      <c r="I218" s="21">
        <v>20</v>
      </c>
      <c r="J218" s="5" t="s">
        <v>17</v>
      </c>
      <c r="K218" s="28" t="s">
        <v>81</v>
      </c>
      <c r="L218" s="23">
        <v>11</v>
      </c>
      <c r="M218" s="8">
        <f t="shared" si="13"/>
        <v>21177.966101694918</v>
      </c>
      <c r="N218" s="9">
        <f t="shared" si="17"/>
        <v>18848.389830508477</v>
      </c>
      <c r="O218" s="10">
        <f t="shared" si="18"/>
        <v>22241.100000000002</v>
      </c>
      <c r="P218" s="9">
        <v>24990</v>
      </c>
      <c r="Q218" s="41">
        <f t="shared" ref="Q218" si="21">P218*1.8+8</f>
        <v>44990</v>
      </c>
    </row>
    <row r="219" spans="1:17" ht="15.75" customHeight="1">
      <c r="A219" s="82"/>
      <c r="B219" s="1">
        <v>69</v>
      </c>
      <c r="C219" s="1" t="s">
        <v>13</v>
      </c>
      <c r="D219" s="1" t="s">
        <v>94</v>
      </c>
      <c r="E219" s="1" t="s">
        <v>95</v>
      </c>
      <c r="F219" s="1"/>
      <c r="G219" s="2">
        <v>32149010</v>
      </c>
      <c r="H219" s="21" t="s">
        <v>16</v>
      </c>
      <c r="I219" s="21">
        <v>930</v>
      </c>
      <c r="J219" s="5" t="s">
        <v>32</v>
      </c>
      <c r="K219" s="28" t="s">
        <v>81</v>
      </c>
      <c r="L219" s="23">
        <v>11</v>
      </c>
      <c r="M219" s="8">
        <f t="shared" si="13"/>
        <v>2957.6271186440681</v>
      </c>
      <c r="N219" s="9">
        <f t="shared" si="17"/>
        <v>2632.2881355932204</v>
      </c>
      <c r="O219" s="10">
        <f t="shared" si="18"/>
        <v>3106.1</v>
      </c>
      <c r="P219" s="11">
        <v>3490</v>
      </c>
      <c r="Q219" s="12">
        <f t="shared" si="19"/>
        <v>6290</v>
      </c>
    </row>
    <row r="220" spans="1:17" ht="15.75" customHeight="1">
      <c r="A220" s="82"/>
      <c r="B220" s="1">
        <v>70</v>
      </c>
      <c r="C220" s="1" t="s">
        <v>13</v>
      </c>
      <c r="D220" s="1" t="s">
        <v>94</v>
      </c>
      <c r="E220" s="1" t="s">
        <v>95</v>
      </c>
      <c r="F220" s="1" t="s">
        <v>96</v>
      </c>
      <c r="G220" s="2">
        <v>32149010</v>
      </c>
      <c r="H220" s="21" t="s">
        <v>16</v>
      </c>
      <c r="I220" s="21">
        <v>930</v>
      </c>
      <c r="J220" s="5" t="s">
        <v>32</v>
      </c>
      <c r="K220" s="28" t="s">
        <v>81</v>
      </c>
      <c r="L220" s="23">
        <v>11</v>
      </c>
      <c r="M220" s="8">
        <f t="shared" si="13"/>
        <v>3381.3559322033898</v>
      </c>
      <c r="N220" s="9">
        <f t="shared" si="17"/>
        <v>3009.406779661017</v>
      </c>
      <c r="O220" s="10">
        <f t="shared" si="18"/>
        <v>3551.1</v>
      </c>
      <c r="P220" s="11">
        <v>3990</v>
      </c>
      <c r="Q220" s="12">
        <f t="shared" si="19"/>
        <v>7190</v>
      </c>
    </row>
    <row r="221" spans="1:17" ht="15.75" customHeight="1">
      <c r="A221" s="82"/>
      <c r="B221" s="1">
        <v>71</v>
      </c>
      <c r="C221" s="1" t="s">
        <v>13</v>
      </c>
      <c r="D221" s="1" t="s">
        <v>94</v>
      </c>
      <c r="E221" s="1" t="s">
        <v>95</v>
      </c>
      <c r="F221" s="1" t="s">
        <v>14</v>
      </c>
      <c r="G221" s="2">
        <v>32149010</v>
      </c>
      <c r="H221" s="21" t="s">
        <v>16</v>
      </c>
      <c r="I221" s="21">
        <v>930</v>
      </c>
      <c r="J221" s="5" t="s">
        <v>32</v>
      </c>
      <c r="K221" s="28" t="s">
        <v>81</v>
      </c>
      <c r="L221" s="23">
        <v>11</v>
      </c>
      <c r="M221" s="8">
        <f t="shared" si="13"/>
        <v>6771.1864406779669</v>
      </c>
      <c r="N221" s="9">
        <f t="shared" si="17"/>
        <v>6026.3559322033907</v>
      </c>
      <c r="O221" s="10">
        <f t="shared" si="18"/>
        <v>7111.1</v>
      </c>
      <c r="P221" s="11">
        <v>7990</v>
      </c>
      <c r="Q221" s="12">
        <f t="shared" si="19"/>
        <v>14390</v>
      </c>
    </row>
    <row r="222" spans="1:17" ht="15.75" customHeight="1">
      <c r="A222" s="82"/>
      <c r="B222" s="1">
        <v>72</v>
      </c>
      <c r="C222" s="1" t="s">
        <v>13</v>
      </c>
      <c r="D222" s="1" t="s">
        <v>97</v>
      </c>
      <c r="E222" s="1" t="s">
        <v>15</v>
      </c>
      <c r="F222" s="1" t="s">
        <v>98</v>
      </c>
      <c r="G222" s="2">
        <v>32149010</v>
      </c>
      <c r="H222" s="21" t="s">
        <v>16</v>
      </c>
      <c r="I222" s="21">
        <v>930</v>
      </c>
      <c r="J222" s="5" t="s">
        <v>32</v>
      </c>
      <c r="K222" s="28" t="s">
        <v>81</v>
      </c>
      <c r="L222" s="23">
        <v>14</v>
      </c>
      <c r="M222" s="8">
        <f t="shared" si="13"/>
        <v>2533.898305084746</v>
      </c>
      <c r="N222" s="9">
        <f t="shared" si="17"/>
        <v>2179.1525423728817</v>
      </c>
      <c r="O222" s="10">
        <f t="shared" si="18"/>
        <v>2571.4</v>
      </c>
      <c r="P222" s="11">
        <v>2990</v>
      </c>
      <c r="Q222" s="12">
        <f t="shared" si="19"/>
        <v>5390</v>
      </c>
    </row>
    <row r="223" spans="1:17" ht="15.75" customHeight="1">
      <c r="A223" s="82"/>
      <c r="B223" s="1">
        <v>73</v>
      </c>
      <c r="C223" s="1" t="s">
        <v>13</v>
      </c>
      <c r="D223" s="1" t="s">
        <v>97</v>
      </c>
      <c r="E223" s="1" t="s">
        <v>15</v>
      </c>
      <c r="F223" s="1" t="s">
        <v>99</v>
      </c>
      <c r="G223" s="2">
        <v>32149010</v>
      </c>
      <c r="H223" s="21" t="s">
        <v>16</v>
      </c>
      <c r="I223" s="21">
        <v>930</v>
      </c>
      <c r="J223" s="5" t="s">
        <v>32</v>
      </c>
      <c r="K223" s="28" t="s">
        <v>81</v>
      </c>
      <c r="L223" s="23">
        <v>14</v>
      </c>
      <c r="M223" s="8">
        <f t="shared" si="13"/>
        <v>2957.6271186440681</v>
      </c>
      <c r="N223" s="9">
        <f t="shared" si="17"/>
        <v>2543.5593220338988</v>
      </c>
      <c r="O223" s="10">
        <f t="shared" si="18"/>
        <v>3001.4000000000005</v>
      </c>
      <c r="P223" s="11">
        <v>3490</v>
      </c>
      <c r="Q223" s="12">
        <f t="shared" si="19"/>
        <v>6290</v>
      </c>
    </row>
    <row r="224" spans="1:17" ht="15.75" customHeight="1">
      <c r="A224" s="82"/>
      <c r="B224" s="47">
        <v>74</v>
      </c>
      <c r="C224" s="47" t="s">
        <v>13</v>
      </c>
      <c r="D224" s="47" t="s">
        <v>100</v>
      </c>
      <c r="E224" s="47" t="s">
        <v>15</v>
      </c>
      <c r="F224" s="47"/>
      <c r="G224" s="48">
        <v>32089090</v>
      </c>
      <c r="H224" s="18" t="s">
        <v>24</v>
      </c>
      <c r="I224" s="18">
        <v>3</v>
      </c>
      <c r="J224" s="18" t="s">
        <v>17</v>
      </c>
      <c r="K224" s="28"/>
      <c r="L224" s="23">
        <v>14</v>
      </c>
      <c r="M224" s="8">
        <f t="shared" si="13"/>
        <v>2788.1355932203392</v>
      </c>
      <c r="N224" s="9">
        <f t="shared" si="17"/>
        <v>2397.7966101694915</v>
      </c>
      <c r="O224" s="10">
        <f t="shared" si="18"/>
        <v>2829.3999999999996</v>
      </c>
      <c r="P224" s="11">
        <v>3290</v>
      </c>
      <c r="Q224" s="12">
        <f>P224*1.8-32</f>
        <v>5890</v>
      </c>
    </row>
    <row r="225" spans="1:18" ht="15.75" customHeight="1">
      <c r="A225" s="82"/>
      <c r="B225" s="47"/>
      <c r="C225" s="47"/>
      <c r="D225" s="47"/>
      <c r="E225" s="47"/>
      <c r="F225" s="47"/>
      <c r="G225" s="48"/>
      <c r="H225" s="18" t="s">
        <v>24</v>
      </c>
      <c r="I225" s="18">
        <v>15</v>
      </c>
      <c r="J225" s="18" t="s">
        <v>17</v>
      </c>
      <c r="K225" s="28"/>
      <c r="L225" s="23">
        <v>14</v>
      </c>
      <c r="M225" s="8">
        <f t="shared" ref="M225:M244" si="22">P225/1.18</f>
        <v>13550.84745762712</v>
      </c>
      <c r="N225" s="9">
        <f t="shared" si="17"/>
        <v>11653.728813559323</v>
      </c>
      <c r="O225" s="10">
        <f t="shared" si="18"/>
        <v>13751.4</v>
      </c>
      <c r="P225" s="11">
        <v>15990</v>
      </c>
      <c r="Q225" s="12">
        <f t="shared" ref="Q225:Q231" si="23">P225*1.8+8</f>
        <v>28790</v>
      </c>
    </row>
    <row r="226" spans="1:18" ht="15.75" customHeight="1">
      <c r="A226" s="82"/>
      <c r="B226" s="47"/>
      <c r="C226" s="47"/>
      <c r="D226" s="47"/>
      <c r="E226" s="47"/>
      <c r="F226" s="47"/>
      <c r="G226" s="48"/>
      <c r="H226" s="18" t="s">
        <v>24</v>
      </c>
      <c r="I226" s="18">
        <v>30</v>
      </c>
      <c r="J226" s="18" t="s">
        <v>17</v>
      </c>
      <c r="K226" s="28"/>
      <c r="L226" s="23">
        <v>14</v>
      </c>
      <c r="M226" s="8">
        <f t="shared" si="22"/>
        <v>25415.254237288136</v>
      </c>
      <c r="N226" s="9">
        <f t="shared" si="17"/>
        <v>21857.118644067796</v>
      </c>
      <c r="O226" s="10">
        <f t="shared" si="18"/>
        <v>25791.399999999998</v>
      </c>
      <c r="P226" s="11">
        <v>29990</v>
      </c>
      <c r="Q226" s="12">
        <f t="shared" si="23"/>
        <v>53990</v>
      </c>
    </row>
    <row r="227" spans="1:18" ht="15.75" customHeight="1">
      <c r="A227" s="82"/>
      <c r="B227" s="47">
        <v>75</v>
      </c>
      <c r="C227" s="47" t="s">
        <v>13</v>
      </c>
      <c r="D227" s="47" t="s">
        <v>101</v>
      </c>
      <c r="E227" s="47" t="s">
        <v>102</v>
      </c>
      <c r="F227" s="47" t="s">
        <v>22</v>
      </c>
      <c r="G227" s="48">
        <v>32064910</v>
      </c>
      <c r="H227" s="21" t="s">
        <v>16</v>
      </c>
      <c r="I227" s="21">
        <v>1</v>
      </c>
      <c r="J227" s="5" t="s">
        <v>17</v>
      </c>
      <c r="K227" s="28"/>
      <c r="L227" s="23">
        <v>11</v>
      </c>
      <c r="M227" s="8">
        <f t="shared" si="22"/>
        <v>126.27118644067798</v>
      </c>
      <c r="N227" s="9">
        <f t="shared" si="17"/>
        <v>112.38135593220341</v>
      </c>
      <c r="O227" s="10">
        <f t="shared" si="18"/>
        <v>132.61000000000001</v>
      </c>
      <c r="P227" s="11">
        <v>149</v>
      </c>
      <c r="Q227" s="12">
        <f>P227*1.8+21.8</f>
        <v>290</v>
      </c>
      <c r="R227" s="31"/>
    </row>
    <row r="228" spans="1:18" ht="15.75" customHeight="1">
      <c r="A228" s="82"/>
      <c r="B228" s="47"/>
      <c r="C228" s="47"/>
      <c r="D228" s="47"/>
      <c r="E228" s="47"/>
      <c r="F228" s="47"/>
      <c r="G228" s="48"/>
      <c r="H228" s="21" t="s">
        <v>16</v>
      </c>
      <c r="I228" s="21">
        <v>5</v>
      </c>
      <c r="J228" s="5" t="s">
        <v>17</v>
      </c>
      <c r="K228" s="28"/>
      <c r="L228" s="23">
        <v>11</v>
      </c>
      <c r="M228" s="8">
        <f t="shared" si="22"/>
        <v>584.74576271186447</v>
      </c>
      <c r="N228" s="9">
        <f t="shared" si="17"/>
        <v>520.42372881355936</v>
      </c>
      <c r="O228" s="10">
        <f t="shared" si="18"/>
        <v>614.1</v>
      </c>
      <c r="P228" s="11">
        <v>690</v>
      </c>
      <c r="Q228" s="12">
        <f>P228*1.8+48</f>
        <v>1290</v>
      </c>
    </row>
    <row r="229" spans="1:18" ht="15.75" customHeight="1">
      <c r="A229" s="82"/>
      <c r="B229" s="47"/>
      <c r="C229" s="47"/>
      <c r="D229" s="47"/>
      <c r="E229" s="47"/>
      <c r="F229" s="47"/>
      <c r="G229" s="48"/>
      <c r="H229" s="21" t="s">
        <v>16</v>
      </c>
      <c r="I229" s="21">
        <v>20</v>
      </c>
      <c r="J229" s="5" t="s">
        <v>17</v>
      </c>
      <c r="K229" s="28"/>
      <c r="L229" s="23">
        <v>11</v>
      </c>
      <c r="M229" s="8">
        <f t="shared" si="22"/>
        <v>2279.6610169491528</v>
      </c>
      <c r="N229" s="9">
        <f t="shared" si="17"/>
        <v>2028.898305084746</v>
      </c>
      <c r="O229" s="10">
        <f t="shared" si="18"/>
        <v>2394.1</v>
      </c>
      <c r="P229" s="11">
        <v>2690</v>
      </c>
      <c r="Q229" s="12">
        <f>P229*1.8+48</f>
        <v>4890</v>
      </c>
    </row>
    <row r="230" spans="1:18" ht="15.75" customHeight="1">
      <c r="A230" s="82"/>
      <c r="B230" s="47">
        <v>76</v>
      </c>
      <c r="C230" s="47" t="s">
        <v>13</v>
      </c>
      <c r="D230" s="47" t="s">
        <v>101</v>
      </c>
      <c r="E230" s="47" t="s">
        <v>102</v>
      </c>
      <c r="F230" s="47"/>
      <c r="G230" s="48">
        <v>32064910</v>
      </c>
      <c r="H230" s="21" t="s">
        <v>16</v>
      </c>
      <c r="I230" s="21">
        <v>1</v>
      </c>
      <c r="J230" s="5" t="s">
        <v>17</v>
      </c>
      <c r="K230" s="28"/>
      <c r="L230" s="23">
        <v>11</v>
      </c>
      <c r="M230" s="8">
        <f t="shared" si="22"/>
        <v>185.59322033898306</v>
      </c>
      <c r="N230" s="9">
        <f t="shared" si="17"/>
        <v>165.17796610169492</v>
      </c>
      <c r="O230" s="10">
        <f t="shared" si="18"/>
        <v>194.91</v>
      </c>
      <c r="P230" s="11">
        <v>219</v>
      </c>
      <c r="Q230" s="12">
        <f>P230*1.8-4.2</f>
        <v>390</v>
      </c>
    </row>
    <row r="231" spans="1:18" ht="15.75" customHeight="1">
      <c r="A231" s="82"/>
      <c r="B231" s="47"/>
      <c r="C231" s="47"/>
      <c r="D231" s="47"/>
      <c r="E231" s="47"/>
      <c r="F231" s="47"/>
      <c r="G231" s="48"/>
      <c r="H231" s="21" t="s">
        <v>16</v>
      </c>
      <c r="I231" s="21">
        <v>5</v>
      </c>
      <c r="J231" s="5" t="s">
        <v>17</v>
      </c>
      <c r="K231" s="28"/>
      <c r="L231" s="23">
        <v>11</v>
      </c>
      <c r="M231" s="8">
        <f t="shared" si="22"/>
        <v>838.98305084745766</v>
      </c>
      <c r="N231" s="9">
        <f t="shared" si="17"/>
        <v>746.69491525423734</v>
      </c>
      <c r="O231" s="10">
        <f t="shared" si="18"/>
        <v>881.1</v>
      </c>
      <c r="P231" s="11">
        <v>990</v>
      </c>
      <c r="Q231" s="12">
        <f t="shared" si="23"/>
        <v>1790</v>
      </c>
    </row>
    <row r="232" spans="1:18" ht="15.75" customHeight="1">
      <c r="A232" s="82"/>
      <c r="B232" s="47"/>
      <c r="C232" s="47"/>
      <c r="D232" s="47"/>
      <c r="E232" s="47"/>
      <c r="F232" s="47"/>
      <c r="G232" s="48"/>
      <c r="H232" s="21" t="s">
        <v>16</v>
      </c>
      <c r="I232" s="21">
        <v>20</v>
      </c>
      <c r="J232" s="5" t="s">
        <v>17</v>
      </c>
      <c r="K232" s="28"/>
      <c r="L232" s="23">
        <v>11</v>
      </c>
      <c r="M232" s="8">
        <f t="shared" si="22"/>
        <v>3296.6101694915255</v>
      </c>
      <c r="N232" s="9">
        <f t="shared" si="17"/>
        <v>2933.9830508474579</v>
      </c>
      <c r="O232" s="10">
        <f t="shared" si="18"/>
        <v>3462.1</v>
      </c>
      <c r="P232" s="11">
        <v>3890</v>
      </c>
      <c r="Q232" s="12">
        <f>P232*1.8-12</f>
        <v>6990</v>
      </c>
    </row>
    <row r="233" spans="1:18" ht="15.75" customHeight="1">
      <c r="A233" s="82"/>
      <c r="B233" s="47">
        <v>77</v>
      </c>
      <c r="C233" s="47" t="s">
        <v>13</v>
      </c>
      <c r="D233" s="47" t="s">
        <v>103</v>
      </c>
      <c r="E233" s="47" t="s">
        <v>102</v>
      </c>
      <c r="F233" s="47"/>
      <c r="G233" s="48">
        <v>32064910</v>
      </c>
      <c r="H233" s="21" t="s">
        <v>16</v>
      </c>
      <c r="I233" s="21">
        <v>1</v>
      </c>
      <c r="J233" s="5" t="s">
        <v>17</v>
      </c>
      <c r="K233" s="28"/>
      <c r="L233" s="23">
        <v>11</v>
      </c>
      <c r="M233" s="8">
        <f t="shared" si="22"/>
        <v>211.0169491525424</v>
      </c>
      <c r="N233" s="9">
        <f t="shared" si="17"/>
        <v>187.80508474576274</v>
      </c>
      <c r="O233" s="10">
        <f t="shared" si="18"/>
        <v>221.61</v>
      </c>
      <c r="P233" s="11">
        <v>249</v>
      </c>
      <c r="Q233" s="12">
        <f>P233*1.8+41.8</f>
        <v>490</v>
      </c>
      <c r="R233" s="31"/>
    </row>
    <row r="234" spans="1:18" ht="15.75" customHeight="1">
      <c r="A234" s="82"/>
      <c r="B234" s="47"/>
      <c r="C234" s="47"/>
      <c r="D234" s="47"/>
      <c r="E234" s="47"/>
      <c r="F234" s="47"/>
      <c r="G234" s="48"/>
      <c r="H234" s="21" t="s">
        <v>16</v>
      </c>
      <c r="I234" s="21">
        <v>5</v>
      </c>
      <c r="J234" s="5" t="s">
        <v>17</v>
      </c>
      <c r="K234" s="28"/>
      <c r="L234" s="23">
        <v>11</v>
      </c>
      <c r="M234" s="8">
        <f t="shared" si="22"/>
        <v>1008.4745762711865</v>
      </c>
      <c r="N234" s="9">
        <f t="shared" si="17"/>
        <v>897.54237288135596</v>
      </c>
      <c r="O234" s="10">
        <f t="shared" si="18"/>
        <v>1059.0999999999999</v>
      </c>
      <c r="P234" s="11">
        <v>1190</v>
      </c>
      <c r="Q234" s="12">
        <f>P234*1.8+48</f>
        <v>2190</v>
      </c>
    </row>
    <row r="235" spans="1:18" ht="15.75" customHeight="1">
      <c r="A235" s="82"/>
      <c r="B235" s="47"/>
      <c r="C235" s="47"/>
      <c r="D235" s="47"/>
      <c r="E235" s="47"/>
      <c r="F235" s="47"/>
      <c r="G235" s="48"/>
      <c r="H235" s="21" t="s">
        <v>16</v>
      </c>
      <c r="I235" s="21">
        <v>20</v>
      </c>
      <c r="J235" s="5" t="s">
        <v>17</v>
      </c>
      <c r="K235" s="28"/>
      <c r="L235" s="23">
        <v>11</v>
      </c>
      <c r="M235" s="8">
        <f t="shared" si="22"/>
        <v>3805.0847457627119</v>
      </c>
      <c r="N235" s="9">
        <f t="shared" si="17"/>
        <v>3386.5254237288136</v>
      </c>
      <c r="O235" s="10">
        <f t="shared" si="18"/>
        <v>3996.1</v>
      </c>
      <c r="P235" s="11">
        <v>4490</v>
      </c>
      <c r="Q235" s="12">
        <f t="shared" ref="Q235:Q241" si="24">P235*1.8+8</f>
        <v>8090</v>
      </c>
    </row>
    <row r="236" spans="1:18" ht="15.75" customHeight="1">
      <c r="A236" s="82"/>
      <c r="B236" s="47">
        <v>78</v>
      </c>
      <c r="C236" s="47" t="s">
        <v>13</v>
      </c>
      <c r="D236" s="47" t="s">
        <v>104</v>
      </c>
      <c r="E236" s="47" t="s">
        <v>15</v>
      </c>
      <c r="F236" s="47" t="s">
        <v>105</v>
      </c>
      <c r="G236" s="48">
        <v>39095000</v>
      </c>
      <c r="H236" s="21" t="s">
        <v>16</v>
      </c>
      <c r="I236" s="21">
        <v>1</v>
      </c>
      <c r="J236" s="5" t="s">
        <v>17</v>
      </c>
      <c r="K236" s="22"/>
      <c r="L236" s="23">
        <v>14</v>
      </c>
      <c r="M236" s="8">
        <f t="shared" si="22"/>
        <v>1940.6779661016951</v>
      </c>
      <c r="N236" s="9">
        <f t="shared" si="17"/>
        <v>1668.9830508474579</v>
      </c>
      <c r="O236" s="10">
        <f t="shared" si="18"/>
        <v>1969.4000000000003</v>
      </c>
      <c r="P236" s="11">
        <v>2290</v>
      </c>
      <c r="Q236" s="12">
        <f>P236*1.8-32</f>
        <v>4090</v>
      </c>
    </row>
    <row r="237" spans="1:18" ht="15.75" customHeight="1">
      <c r="A237" s="82"/>
      <c r="B237" s="47"/>
      <c r="C237" s="47"/>
      <c r="D237" s="47"/>
      <c r="E237" s="47"/>
      <c r="F237" s="47"/>
      <c r="G237" s="48"/>
      <c r="H237" s="21" t="s">
        <v>16</v>
      </c>
      <c r="I237" s="21">
        <v>5</v>
      </c>
      <c r="J237" s="5" t="s">
        <v>17</v>
      </c>
      <c r="K237" s="22"/>
      <c r="L237" s="23">
        <v>14</v>
      </c>
      <c r="M237" s="8">
        <f t="shared" si="22"/>
        <v>9313.5593220338997</v>
      </c>
      <c r="N237" s="9">
        <f t="shared" si="17"/>
        <v>8009.6610169491541</v>
      </c>
      <c r="O237" s="10">
        <f t="shared" si="18"/>
        <v>9451.4000000000015</v>
      </c>
      <c r="P237" s="11">
        <v>10990</v>
      </c>
      <c r="Q237" s="12">
        <f t="shared" si="24"/>
        <v>19790</v>
      </c>
    </row>
    <row r="238" spans="1:18" ht="15.75" customHeight="1">
      <c r="A238" s="82"/>
      <c r="B238" s="47"/>
      <c r="C238" s="47"/>
      <c r="D238" s="47"/>
      <c r="E238" s="47"/>
      <c r="F238" s="47"/>
      <c r="G238" s="48"/>
      <c r="H238" s="21" t="s">
        <v>16</v>
      </c>
      <c r="I238" s="21">
        <v>20</v>
      </c>
      <c r="J238" s="5" t="s">
        <v>17</v>
      </c>
      <c r="K238" s="22"/>
      <c r="L238" s="23">
        <v>14</v>
      </c>
      <c r="M238" s="8">
        <f t="shared" si="22"/>
        <v>36432.203389830509</v>
      </c>
      <c r="N238" s="9">
        <f t="shared" si="17"/>
        <v>31331.694915254237</v>
      </c>
      <c r="O238" s="10">
        <f t="shared" si="18"/>
        <v>36971.399999999994</v>
      </c>
      <c r="P238" s="11">
        <v>42990</v>
      </c>
      <c r="Q238" s="12">
        <f t="shared" si="24"/>
        <v>77390</v>
      </c>
    </row>
    <row r="239" spans="1:18" ht="15.75" customHeight="1">
      <c r="A239" s="82"/>
      <c r="B239" s="47">
        <v>79</v>
      </c>
      <c r="C239" s="47" t="s">
        <v>13</v>
      </c>
      <c r="D239" s="47" t="s">
        <v>104</v>
      </c>
      <c r="E239" s="47" t="s">
        <v>15</v>
      </c>
      <c r="F239" s="47" t="s">
        <v>105</v>
      </c>
      <c r="G239" s="48">
        <v>39095000</v>
      </c>
      <c r="H239" s="21" t="s">
        <v>24</v>
      </c>
      <c r="I239" s="21">
        <v>1</v>
      </c>
      <c r="J239" s="5" t="s">
        <v>17</v>
      </c>
      <c r="K239" s="22"/>
      <c r="L239" s="23">
        <v>14</v>
      </c>
      <c r="M239" s="8">
        <f t="shared" si="22"/>
        <v>2110.1694915254238</v>
      </c>
      <c r="N239" s="9">
        <f t="shared" si="17"/>
        <v>1814.7457627118645</v>
      </c>
      <c r="O239" s="10">
        <f t="shared" si="18"/>
        <v>2141.4</v>
      </c>
      <c r="P239" s="11">
        <v>2490</v>
      </c>
      <c r="Q239" s="12">
        <f t="shared" si="24"/>
        <v>4490</v>
      </c>
    </row>
    <row r="240" spans="1:18" ht="15.75" customHeight="1">
      <c r="A240" s="82"/>
      <c r="B240" s="47"/>
      <c r="C240" s="47"/>
      <c r="D240" s="47"/>
      <c r="E240" s="47"/>
      <c r="F240" s="47"/>
      <c r="G240" s="48"/>
      <c r="H240" s="21" t="s">
        <v>24</v>
      </c>
      <c r="I240" s="21">
        <v>5</v>
      </c>
      <c r="J240" s="5" t="s">
        <v>17</v>
      </c>
      <c r="K240" s="22"/>
      <c r="L240" s="23">
        <v>14</v>
      </c>
      <c r="M240" s="8">
        <f t="shared" si="22"/>
        <v>10161.016949152543</v>
      </c>
      <c r="N240" s="9">
        <f t="shared" si="17"/>
        <v>8738.4745762711864</v>
      </c>
      <c r="O240" s="10">
        <f t="shared" si="18"/>
        <v>10311.4</v>
      </c>
      <c r="P240" s="11">
        <v>11990</v>
      </c>
      <c r="Q240" s="12">
        <f t="shared" si="24"/>
        <v>21590</v>
      </c>
    </row>
    <row r="241" spans="1:17" ht="15.75" customHeight="1">
      <c r="A241" s="82"/>
      <c r="B241" s="47"/>
      <c r="C241" s="47"/>
      <c r="D241" s="47"/>
      <c r="E241" s="47"/>
      <c r="F241" s="47"/>
      <c r="G241" s="48"/>
      <c r="H241" s="21" t="s">
        <v>24</v>
      </c>
      <c r="I241" s="21">
        <v>20</v>
      </c>
      <c r="J241" s="5" t="s">
        <v>17</v>
      </c>
      <c r="K241" s="22"/>
      <c r="L241" s="23">
        <v>14</v>
      </c>
      <c r="M241" s="8">
        <f t="shared" si="22"/>
        <v>39822.03389830509</v>
      </c>
      <c r="N241" s="9">
        <f t="shared" si="17"/>
        <v>34246.94915254238</v>
      </c>
      <c r="O241" s="10">
        <f t="shared" si="18"/>
        <v>40411.400000000009</v>
      </c>
      <c r="P241" s="11">
        <v>46990</v>
      </c>
      <c r="Q241" s="12">
        <f t="shared" si="24"/>
        <v>84590</v>
      </c>
    </row>
    <row r="242" spans="1:17" ht="15.75" customHeight="1">
      <c r="A242" s="82"/>
      <c r="B242" s="47">
        <v>80</v>
      </c>
      <c r="C242" s="47" t="s">
        <v>13</v>
      </c>
      <c r="D242" s="47" t="s">
        <v>106</v>
      </c>
      <c r="E242" s="47" t="s">
        <v>15</v>
      </c>
      <c r="F242" s="47"/>
      <c r="G242" s="48">
        <v>39073010</v>
      </c>
      <c r="H242" s="21" t="s">
        <v>24</v>
      </c>
      <c r="I242" s="21">
        <v>1</v>
      </c>
      <c r="J242" s="5" t="s">
        <v>17</v>
      </c>
      <c r="K242" s="28" t="s">
        <v>81</v>
      </c>
      <c r="L242" s="23">
        <v>11</v>
      </c>
      <c r="M242" s="8">
        <f t="shared" si="22"/>
        <v>465.25423728813564</v>
      </c>
      <c r="N242" s="9">
        <f t="shared" si="17"/>
        <v>414.07627118644075</v>
      </c>
      <c r="O242" s="10">
        <f t="shared" si="18"/>
        <v>488.61000000000007</v>
      </c>
      <c r="P242" s="11">
        <v>549</v>
      </c>
      <c r="Q242" s="12">
        <f>P242*1.8+1.8</f>
        <v>990</v>
      </c>
    </row>
    <row r="243" spans="1:17" ht="15.75" customHeight="1">
      <c r="A243" s="82"/>
      <c r="B243" s="47"/>
      <c r="C243" s="47"/>
      <c r="D243" s="47"/>
      <c r="E243" s="47"/>
      <c r="F243" s="47"/>
      <c r="G243" s="48"/>
      <c r="H243" s="21" t="s">
        <v>24</v>
      </c>
      <c r="I243" s="21">
        <v>5</v>
      </c>
      <c r="J243" s="5" t="s">
        <v>17</v>
      </c>
      <c r="K243" s="28" t="s">
        <v>81</v>
      </c>
      <c r="L243" s="23">
        <v>11</v>
      </c>
      <c r="M243" s="8">
        <f t="shared" si="22"/>
        <v>2194.9152542372881</v>
      </c>
      <c r="N243" s="9">
        <f t="shared" si="17"/>
        <v>1953.4745762711864</v>
      </c>
      <c r="O243" s="10">
        <f t="shared" si="18"/>
        <v>2305.1</v>
      </c>
      <c r="P243" s="11">
        <v>2590</v>
      </c>
      <c r="Q243" s="12">
        <f>P243*1.8+28</f>
        <v>4690</v>
      </c>
    </row>
    <row r="244" spans="1:17" ht="15.75" customHeight="1">
      <c r="A244" s="82"/>
      <c r="B244" s="47"/>
      <c r="C244" s="47"/>
      <c r="D244" s="47"/>
      <c r="E244" s="47"/>
      <c r="F244" s="47"/>
      <c r="G244" s="48"/>
      <c r="H244" s="21" t="s">
        <v>24</v>
      </c>
      <c r="I244" s="21">
        <v>20</v>
      </c>
      <c r="J244" s="5" t="s">
        <v>17</v>
      </c>
      <c r="K244" s="28" t="s">
        <v>81</v>
      </c>
      <c r="L244" s="23">
        <v>11</v>
      </c>
      <c r="M244" s="8">
        <f t="shared" si="22"/>
        <v>8466.1016949152545</v>
      </c>
      <c r="N244" s="9">
        <f t="shared" si="17"/>
        <v>7534.8305084745762</v>
      </c>
      <c r="O244" s="10">
        <f t="shared" si="18"/>
        <v>8891.0999999999985</v>
      </c>
      <c r="P244" s="11">
        <v>9990</v>
      </c>
      <c r="Q244" s="12">
        <f>P244*1.8+8</f>
        <v>17990</v>
      </c>
    </row>
    <row r="245" spans="1:17" ht="15.75" customHeight="1">
      <c r="A245" s="82"/>
      <c r="B245" s="47">
        <v>81</v>
      </c>
      <c r="C245" s="47" t="s">
        <v>13</v>
      </c>
      <c r="D245" s="47" t="s">
        <v>107</v>
      </c>
      <c r="E245" s="47" t="s">
        <v>108</v>
      </c>
      <c r="F245" s="47"/>
      <c r="G245" s="48"/>
      <c r="H245" s="21" t="s">
        <v>16</v>
      </c>
      <c r="I245" s="21">
        <v>1</v>
      </c>
      <c r="J245" s="5" t="s">
        <v>17</v>
      </c>
      <c r="K245" s="22"/>
      <c r="L245" s="23">
        <v>11</v>
      </c>
      <c r="M245" s="8"/>
      <c r="N245" s="9"/>
      <c r="O245" s="10"/>
      <c r="P245" s="11"/>
      <c r="Q245" s="12"/>
    </row>
    <row r="246" spans="1:17" ht="15.75" customHeight="1">
      <c r="A246" s="82"/>
      <c r="B246" s="47"/>
      <c r="C246" s="47"/>
      <c r="D246" s="47"/>
      <c r="E246" s="47"/>
      <c r="F246" s="47"/>
      <c r="G246" s="48"/>
      <c r="H246" s="21" t="s">
        <v>16</v>
      </c>
      <c r="I246" s="21">
        <v>5</v>
      </c>
      <c r="J246" s="5" t="s">
        <v>17</v>
      </c>
      <c r="K246" s="22"/>
      <c r="L246" s="23">
        <v>11</v>
      </c>
      <c r="M246" s="8"/>
      <c r="N246" s="9"/>
      <c r="O246" s="10"/>
      <c r="P246" s="11"/>
      <c r="Q246" s="12"/>
    </row>
    <row r="247" spans="1:17" ht="15.75" customHeight="1">
      <c r="A247" s="82"/>
      <c r="B247" s="47"/>
      <c r="C247" s="47"/>
      <c r="D247" s="47"/>
      <c r="E247" s="47"/>
      <c r="F247" s="47"/>
      <c r="G247" s="48"/>
      <c r="H247" s="21" t="s">
        <v>16</v>
      </c>
      <c r="I247" s="21">
        <v>20</v>
      </c>
      <c r="J247" s="5" t="s">
        <v>17</v>
      </c>
      <c r="K247" s="22"/>
      <c r="L247" s="23">
        <v>11</v>
      </c>
      <c r="M247" s="8"/>
      <c r="N247" s="9"/>
      <c r="O247" s="10"/>
      <c r="P247" s="11"/>
      <c r="Q247" s="12"/>
    </row>
    <row r="248" spans="1:17" ht="15.75" customHeight="1">
      <c r="A248" s="82"/>
      <c r="B248" s="47">
        <v>82</v>
      </c>
      <c r="C248" s="47" t="s">
        <v>13</v>
      </c>
      <c r="D248" s="47" t="s">
        <v>109</v>
      </c>
      <c r="E248" s="47" t="s">
        <v>15</v>
      </c>
      <c r="F248" s="47"/>
      <c r="G248" s="48">
        <v>32089090</v>
      </c>
      <c r="H248" s="21" t="s">
        <v>24</v>
      </c>
      <c r="I248" s="21">
        <v>1</v>
      </c>
      <c r="J248" s="5" t="s">
        <v>17</v>
      </c>
      <c r="K248" s="28" t="s">
        <v>81</v>
      </c>
      <c r="L248" s="23">
        <v>14</v>
      </c>
      <c r="M248" s="8">
        <f t="shared" ref="M248:M256" si="25">P248/1.18</f>
        <v>1177.9661016949153</v>
      </c>
      <c r="N248" s="9">
        <f t="shared" ref="N248:N256" si="26">M248-M248*L248%</f>
        <v>1013.0508474576271</v>
      </c>
      <c r="O248" s="10">
        <f t="shared" ref="O248:O256" si="27">N248*1.18</f>
        <v>1195.3999999999999</v>
      </c>
      <c r="P248" s="9">
        <v>1390</v>
      </c>
      <c r="Q248" s="12">
        <f>P248*1.8-12</f>
        <v>2490</v>
      </c>
    </row>
    <row r="249" spans="1:17" ht="15.75" customHeight="1">
      <c r="A249" s="82"/>
      <c r="B249" s="47"/>
      <c r="C249" s="47"/>
      <c r="D249" s="47"/>
      <c r="E249" s="47"/>
      <c r="F249" s="47"/>
      <c r="G249" s="48"/>
      <c r="H249" s="21" t="s">
        <v>24</v>
      </c>
      <c r="I249" s="21">
        <v>5</v>
      </c>
      <c r="J249" s="5" t="s">
        <v>17</v>
      </c>
      <c r="K249" s="28" t="s">
        <v>81</v>
      </c>
      <c r="L249" s="23">
        <v>14</v>
      </c>
      <c r="M249" s="8">
        <f t="shared" si="25"/>
        <v>5838.9830508474579</v>
      </c>
      <c r="N249" s="9">
        <f t="shared" si="26"/>
        <v>5021.5254237288136</v>
      </c>
      <c r="O249" s="10">
        <f t="shared" si="27"/>
        <v>5925.4</v>
      </c>
      <c r="P249" s="9">
        <v>6890</v>
      </c>
      <c r="Q249" s="12">
        <f>P249*1.8-12</f>
        <v>12390</v>
      </c>
    </row>
    <row r="250" spans="1:17" ht="15.75" customHeight="1">
      <c r="A250" s="82"/>
      <c r="B250" s="47"/>
      <c r="C250" s="47"/>
      <c r="D250" s="47"/>
      <c r="E250" s="47"/>
      <c r="F250" s="47"/>
      <c r="G250" s="48"/>
      <c r="H250" s="21" t="s">
        <v>24</v>
      </c>
      <c r="I250" s="21">
        <v>20</v>
      </c>
      <c r="J250" s="5" t="s">
        <v>17</v>
      </c>
      <c r="K250" s="28" t="s">
        <v>81</v>
      </c>
      <c r="L250" s="23">
        <v>14</v>
      </c>
      <c r="M250" s="8">
        <f t="shared" si="25"/>
        <v>22872.881355932204</v>
      </c>
      <c r="N250" s="9">
        <f t="shared" si="26"/>
        <v>19670.677966101695</v>
      </c>
      <c r="O250" s="10">
        <f t="shared" si="27"/>
        <v>23211.399999999998</v>
      </c>
      <c r="P250" s="9">
        <v>26990</v>
      </c>
      <c r="Q250" s="12">
        <f>P250*1.8+8</f>
        <v>48590</v>
      </c>
    </row>
    <row r="251" spans="1:17" ht="15.75" customHeight="1">
      <c r="A251" s="82"/>
      <c r="B251" s="47">
        <v>83</v>
      </c>
      <c r="C251" s="47" t="s">
        <v>13</v>
      </c>
      <c r="D251" s="47" t="s">
        <v>110</v>
      </c>
      <c r="E251" s="47" t="s">
        <v>15</v>
      </c>
      <c r="F251" s="47"/>
      <c r="G251" s="48">
        <v>32089090</v>
      </c>
      <c r="H251" s="21" t="s">
        <v>24</v>
      </c>
      <c r="I251" s="21">
        <v>1</v>
      </c>
      <c r="J251" s="5" t="s">
        <v>17</v>
      </c>
      <c r="K251" s="28" t="s">
        <v>81</v>
      </c>
      <c r="L251" s="23">
        <v>11</v>
      </c>
      <c r="M251" s="8">
        <f t="shared" si="25"/>
        <v>838.98305084745766</v>
      </c>
      <c r="N251" s="9">
        <f t="shared" si="26"/>
        <v>746.69491525423734</v>
      </c>
      <c r="O251" s="10">
        <f t="shared" si="27"/>
        <v>881.1</v>
      </c>
      <c r="P251" s="9">
        <v>990</v>
      </c>
      <c r="Q251" s="12">
        <f>P251*1.8+8</f>
        <v>1790</v>
      </c>
    </row>
    <row r="252" spans="1:17" ht="15.75" customHeight="1">
      <c r="A252" s="82"/>
      <c r="B252" s="47"/>
      <c r="C252" s="47"/>
      <c r="D252" s="47"/>
      <c r="E252" s="47"/>
      <c r="F252" s="47"/>
      <c r="G252" s="48"/>
      <c r="H252" s="21" t="s">
        <v>24</v>
      </c>
      <c r="I252" s="21">
        <v>5</v>
      </c>
      <c r="J252" s="5" t="s">
        <v>17</v>
      </c>
      <c r="K252" s="28" t="s">
        <v>81</v>
      </c>
      <c r="L252" s="23">
        <v>11</v>
      </c>
      <c r="M252" s="8">
        <f t="shared" si="25"/>
        <v>4144.0677966101694</v>
      </c>
      <c r="N252" s="9">
        <f t="shared" si="26"/>
        <v>3688.2203389830506</v>
      </c>
      <c r="O252" s="10">
        <f t="shared" si="27"/>
        <v>4352.0999999999995</v>
      </c>
      <c r="P252" s="9">
        <v>4890</v>
      </c>
      <c r="Q252" s="12">
        <f>P252*1.8-12</f>
        <v>8790</v>
      </c>
    </row>
    <row r="253" spans="1:17" ht="15.75" customHeight="1">
      <c r="A253" s="82"/>
      <c r="B253" s="47"/>
      <c r="C253" s="47"/>
      <c r="D253" s="47"/>
      <c r="E253" s="47"/>
      <c r="F253" s="47"/>
      <c r="G253" s="48"/>
      <c r="H253" s="21" t="s">
        <v>24</v>
      </c>
      <c r="I253" s="21">
        <v>20</v>
      </c>
      <c r="J253" s="5" t="s">
        <v>17</v>
      </c>
      <c r="K253" s="28" t="s">
        <v>81</v>
      </c>
      <c r="L253" s="23">
        <v>11</v>
      </c>
      <c r="M253" s="8">
        <f t="shared" si="25"/>
        <v>16093.220338983052</v>
      </c>
      <c r="N253" s="9">
        <f t="shared" si="26"/>
        <v>14322.966101694916</v>
      </c>
      <c r="O253" s="10">
        <f t="shared" si="27"/>
        <v>16901.099999999999</v>
      </c>
      <c r="P253" s="9">
        <v>18990</v>
      </c>
      <c r="Q253" s="12">
        <f t="shared" ref="Q253" si="28">P253*1.8+8</f>
        <v>34190</v>
      </c>
    </row>
    <row r="254" spans="1:17" ht="15.75" customHeight="1">
      <c r="A254" s="82"/>
      <c r="B254" s="59">
        <v>84</v>
      </c>
      <c r="C254" s="59" t="s">
        <v>13</v>
      </c>
      <c r="D254" s="59" t="s">
        <v>148</v>
      </c>
      <c r="E254" s="59" t="s">
        <v>15</v>
      </c>
      <c r="F254" s="59"/>
      <c r="G254" s="49">
        <v>32100040</v>
      </c>
      <c r="H254" s="21" t="s">
        <v>16</v>
      </c>
      <c r="I254" s="21">
        <v>1</v>
      </c>
      <c r="J254" s="5" t="s">
        <v>17</v>
      </c>
      <c r="K254" s="22"/>
      <c r="L254" s="23">
        <v>11</v>
      </c>
      <c r="M254" s="8">
        <f t="shared" si="25"/>
        <v>295.76271186440681</v>
      </c>
      <c r="N254" s="9">
        <f t="shared" si="26"/>
        <v>263.22881355932208</v>
      </c>
      <c r="O254" s="10">
        <f t="shared" si="27"/>
        <v>310.61</v>
      </c>
      <c r="P254" s="9">
        <v>349</v>
      </c>
      <c r="Q254" s="41">
        <f>P254*1.8-38.2</f>
        <v>590</v>
      </c>
    </row>
    <row r="255" spans="1:17" ht="15.75" customHeight="1">
      <c r="A255" s="82"/>
      <c r="B255" s="60"/>
      <c r="C255" s="60"/>
      <c r="D255" s="60"/>
      <c r="E255" s="60"/>
      <c r="F255" s="60"/>
      <c r="G255" s="50"/>
      <c r="H255" s="21" t="s">
        <v>16</v>
      </c>
      <c r="I255" s="21">
        <v>5</v>
      </c>
      <c r="J255" s="5" t="s">
        <v>17</v>
      </c>
      <c r="K255" s="22"/>
      <c r="L255" s="23">
        <v>11</v>
      </c>
      <c r="M255" s="8">
        <f t="shared" si="25"/>
        <v>1262.7118644067798</v>
      </c>
      <c r="N255" s="9">
        <f t="shared" si="26"/>
        <v>1123.8135593220341</v>
      </c>
      <c r="O255" s="10">
        <f t="shared" si="27"/>
        <v>1326.1000000000001</v>
      </c>
      <c r="P255" s="9">
        <v>1490</v>
      </c>
      <c r="Q255" s="41">
        <f>P255*1.8+8</f>
        <v>2690</v>
      </c>
    </row>
    <row r="256" spans="1:17" ht="15.75" customHeight="1">
      <c r="A256" s="82"/>
      <c r="B256" s="61"/>
      <c r="C256" s="61"/>
      <c r="D256" s="61"/>
      <c r="E256" s="61"/>
      <c r="F256" s="61"/>
      <c r="G256" s="51"/>
      <c r="H256" s="21" t="s">
        <v>16</v>
      </c>
      <c r="I256" s="21">
        <v>20</v>
      </c>
      <c r="J256" s="5" t="s">
        <v>17</v>
      </c>
      <c r="K256" s="22"/>
      <c r="L256" s="23">
        <v>11</v>
      </c>
      <c r="M256" s="8">
        <f t="shared" si="25"/>
        <v>4906.7796610169498</v>
      </c>
      <c r="N256" s="9">
        <f t="shared" si="26"/>
        <v>4367.0338983050851</v>
      </c>
      <c r="O256" s="10">
        <f t="shared" si="27"/>
        <v>5153.1000000000004</v>
      </c>
      <c r="P256" s="9">
        <v>5790</v>
      </c>
      <c r="Q256" s="41">
        <f>P256*1.8-32</f>
        <v>10390</v>
      </c>
    </row>
    <row r="257" spans="1:17" ht="15.75" customHeight="1">
      <c r="A257" s="82"/>
      <c r="B257" s="59">
        <v>85</v>
      </c>
      <c r="C257" s="59" t="s">
        <v>13</v>
      </c>
      <c r="D257" s="59" t="s">
        <v>45</v>
      </c>
      <c r="E257" s="59" t="s">
        <v>15</v>
      </c>
      <c r="F257" s="59"/>
      <c r="G257" s="49"/>
      <c r="H257" s="21" t="s">
        <v>16</v>
      </c>
      <c r="I257" s="21">
        <v>1</v>
      </c>
      <c r="J257" s="5" t="s">
        <v>17</v>
      </c>
      <c r="K257" s="22"/>
      <c r="L257" s="23">
        <v>11</v>
      </c>
      <c r="M257" s="8"/>
      <c r="N257" s="9"/>
      <c r="O257" s="10"/>
      <c r="P257" s="9"/>
      <c r="Q257" s="41"/>
    </row>
    <row r="258" spans="1:17" ht="15.75" customHeight="1">
      <c r="A258" s="82"/>
      <c r="B258" s="60"/>
      <c r="C258" s="60"/>
      <c r="D258" s="60"/>
      <c r="E258" s="60"/>
      <c r="F258" s="60"/>
      <c r="G258" s="50"/>
      <c r="H258" s="21" t="s">
        <v>16</v>
      </c>
      <c r="I258" s="21">
        <v>5</v>
      </c>
      <c r="J258" s="5" t="s">
        <v>17</v>
      </c>
      <c r="K258" s="22"/>
      <c r="L258" s="23">
        <v>11</v>
      </c>
      <c r="M258" s="8"/>
      <c r="N258" s="9"/>
      <c r="O258" s="10"/>
      <c r="P258" s="9"/>
      <c r="Q258" s="41"/>
    </row>
    <row r="259" spans="1:17" ht="15.75" customHeight="1">
      <c r="A259" s="83"/>
      <c r="B259" s="61"/>
      <c r="C259" s="61"/>
      <c r="D259" s="61"/>
      <c r="E259" s="61"/>
      <c r="F259" s="61"/>
      <c r="G259" s="51"/>
      <c r="H259" s="21" t="s">
        <v>16</v>
      </c>
      <c r="I259" s="21">
        <v>20</v>
      </c>
      <c r="J259" s="5" t="s">
        <v>17</v>
      </c>
      <c r="K259" s="22"/>
      <c r="L259" s="23">
        <v>11</v>
      </c>
      <c r="M259" s="8"/>
      <c r="N259" s="9"/>
      <c r="O259" s="10"/>
      <c r="P259" s="9"/>
      <c r="Q259" s="41"/>
    </row>
    <row r="260" spans="1:17" ht="15.75" customHeight="1">
      <c r="A260" s="84" t="s">
        <v>111</v>
      </c>
      <c r="B260" s="47">
        <v>86</v>
      </c>
      <c r="C260" s="47" t="s">
        <v>13</v>
      </c>
      <c r="D260" s="47" t="s">
        <v>111</v>
      </c>
      <c r="E260" s="47" t="s">
        <v>112</v>
      </c>
      <c r="F260" s="47" t="s">
        <v>113</v>
      </c>
      <c r="G260" s="48">
        <v>32089090</v>
      </c>
      <c r="H260" s="21" t="s">
        <v>24</v>
      </c>
      <c r="I260" s="21">
        <v>1</v>
      </c>
      <c r="J260" s="5" t="s">
        <v>17</v>
      </c>
      <c r="K260" s="28" t="s">
        <v>81</v>
      </c>
      <c r="L260" s="23">
        <v>14</v>
      </c>
      <c r="M260" s="8">
        <f t="shared" ref="M260:M408" si="29">P260/1.18</f>
        <v>923.72881355932213</v>
      </c>
      <c r="N260" s="9">
        <f t="shared" si="17"/>
        <v>794.40677966101703</v>
      </c>
      <c r="O260" s="10">
        <f t="shared" si="18"/>
        <v>937.40000000000009</v>
      </c>
      <c r="P260" s="11">
        <v>1090</v>
      </c>
      <c r="Q260" s="12">
        <f>P260*1.8+28</f>
        <v>1990</v>
      </c>
    </row>
    <row r="261" spans="1:17" ht="15.75" customHeight="1">
      <c r="A261" s="85"/>
      <c r="B261" s="47"/>
      <c r="C261" s="47"/>
      <c r="D261" s="47"/>
      <c r="E261" s="47"/>
      <c r="F261" s="47"/>
      <c r="G261" s="48"/>
      <c r="H261" s="21" t="s">
        <v>24</v>
      </c>
      <c r="I261" s="21">
        <v>5</v>
      </c>
      <c r="J261" s="5" t="s">
        <v>17</v>
      </c>
      <c r="K261" s="28" t="s">
        <v>81</v>
      </c>
      <c r="L261" s="23">
        <v>14</v>
      </c>
      <c r="M261" s="8">
        <f t="shared" si="29"/>
        <v>4567.7966101694919</v>
      </c>
      <c r="N261" s="9">
        <f t="shared" si="17"/>
        <v>3928.305084745763</v>
      </c>
      <c r="O261" s="10">
        <f t="shared" si="18"/>
        <v>4635.4000000000005</v>
      </c>
      <c r="P261" s="11">
        <v>5390</v>
      </c>
      <c r="Q261" s="12">
        <f>P261*1.8-12</f>
        <v>9690</v>
      </c>
    </row>
    <row r="262" spans="1:17" ht="15.75" customHeight="1">
      <c r="A262" s="85"/>
      <c r="B262" s="47"/>
      <c r="C262" s="47"/>
      <c r="D262" s="47"/>
      <c r="E262" s="47"/>
      <c r="F262" s="47"/>
      <c r="G262" s="48"/>
      <c r="H262" s="21" t="s">
        <v>24</v>
      </c>
      <c r="I262" s="21">
        <v>20</v>
      </c>
      <c r="J262" s="5" t="s">
        <v>17</v>
      </c>
      <c r="K262" s="28" t="s">
        <v>81</v>
      </c>
      <c r="L262" s="23">
        <v>14</v>
      </c>
      <c r="M262" s="8">
        <f t="shared" si="29"/>
        <v>18211.864406779663</v>
      </c>
      <c r="N262" s="9">
        <f t="shared" si="17"/>
        <v>15662.203389830509</v>
      </c>
      <c r="O262" s="10">
        <f t="shared" si="18"/>
        <v>18481.399999999998</v>
      </c>
      <c r="P262" s="11">
        <v>21490</v>
      </c>
      <c r="Q262" s="12">
        <f>P262*1.8-192</f>
        <v>38490</v>
      </c>
    </row>
    <row r="263" spans="1:17" ht="15.75" customHeight="1">
      <c r="A263" s="85"/>
      <c r="B263" s="47">
        <v>87</v>
      </c>
      <c r="C263" s="47" t="s">
        <v>13</v>
      </c>
      <c r="D263" s="47" t="s">
        <v>111</v>
      </c>
      <c r="E263" s="47" t="s">
        <v>15</v>
      </c>
      <c r="F263" s="47" t="s">
        <v>114</v>
      </c>
      <c r="G263" s="48">
        <v>32089090</v>
      </c>
      <c r="H263" s="21" t="s">
        <v>24</v>
      </c>
      <c r="I263" s="21">
        <v>1</v>
      </c>
      <c r="J263" s="5" t="s">
        <v>17</v>
      </c>
      <c r="K263" s="28"/>
      <c r="L263" s="23">
        <v>11</v>
      </c>
      <c r="M263" s="8">
        <f t="shared" si="29"/>
        <v>295.76271186440681</v>
      </c>
      <c r="N263" s="9">
        <f t="shared" si="17"/>
        <v>263.22881355932208</v>
      </c>
      <c r="O263" s="10">
        <f t="shared" si="18"/>
        <v>310.61</v>
      </c>
      <c r="P263" s="11">
        <v>349</v>
      </c>
      <c r="Q263" s="12">
        <f>P263*1.8-38.2</f>
        <v>590</v>
      </c>
    </row>
    <row r="264" spans="1:17" ht="15.75" customHeight="1">
      <c r="A264" s="85"/>
      <c r="B264" s="47"/>
      <c r="C264" s="47"/>
      <c r="D264" s="47"/>
      <c r="E264" s="47"/>
      <c r="F264" s="47"/>
      <c r="G264" s="48"/>
      <c r="H264" s="21" t="s">
        <v>24</v>
      </c>
      <c r="I264" s="21">
        <v>5</v>
      </c>
      <c r="J264" s="5" t="s">
        <v>17</v>
      </c>
      <c r="K264" s="28"/>
      <c r="L264" s="23">
        <v>11</v>
      </c>
      <c r="M264" s="8">
        <f t="shared" si="29"/>
        <v>1347.457627118644</v>
      </c>
      <c r="N264" s="9">
        <f t="shared" si="17"/>
        <v>1199.2372881355932</v>
      </c>
      <c r="O264" s="10">
        <f t="shared" si="18"/>
        <v>1415.1</v>
      </c>
      <c r="P264" s="11">
        <v>1590</v>
      </c>
      <c r="Q264" s="12">
        <f>P264*1.8+28</f>
        <v>2890</v>
      </c>
    </row>
    <row r="265" spans="1:17" ht="15.75" customHeight="1">
      <c r="A265" s="85"/>
      <c r="B265" s="47"/>
      <c r="C265" s="47"/>
      <c r="D265" s="47"/>
      <c r="E265" s="47"/>
      <c r="F265" s="47"/>
      <c r="G265" s="48"/>
      <c r="H265" s="21" t="s">
        <v>24</v>
      </c>
      <c r="I265" s="21">
        <v>20</v>
      </c>
      <c r="J265" s="5" t="s">
        <v>17</v>
      </c>
      <c r="K265" s="28"/>
      <c r="L265" s="23">
        <v>11</v>
      </c>
      <c r="M265" s="8">
        <f t="shared" si="29"/>
        <v>5161.016949152543</v>
      </c>
      <c r="N265" s="9">
        <f t="shared" si="17"/>
        <v>4593.3050847457635</v>
      </c>
      <c r="O265" s="10">
        <f t="shared" si="18"/>
        <v>5420.1</v>
      </c>
      <c r="P265" s="11">
        <v>6090</v>
      </c>
      <c r="Q265" s="12">
        <f>P265*1.8+28</f>
        <v>10990</v>
      </c>
    </row>
    <row r="266" spans="1:17" ht="15.75" customHeight="1">
      <c r="A266" s="85"/>
      <c r="B266" s="59">
        <v>88</v>
      </c>
      <c r="C266" s="59" t="s">
        <v>13</v>
      </c>
      <c r="D266" s="59" t="s">
        <v>111</v>
      </c>
      <c r="E266" s="59" t="s">
        <v>15</v>
      </c>
      <c r="F266" s="59" t="s">
        <v>149</v>
      </c>
      <c r="G266" s="49">
        <v>32091090</v>
      </c>
      <c r="H266" s="21" t="s">
        <v>16</v>
      </c>
      <c r="I266" s="21">
        <v>1</v>
      </c>
      <c r="J266" s="5" t="s">
        <v>17</v>
      </c>
      <c r="K266" s="28"/>
      <c r="L266" s="23">
        <v>11</v>
      </c>
      <c r="M266" s="8">
        <f t="shared" si="29"/>
        <v>415.25423728813564</v>
      </c>
      <c r="N266" s="9">
        <f t="shared" si="17"/>
        <v>369.57627118644075</v>
      </c>
      <c r="O266" s="10">
        <f t="shared" si="18"/>
        <v>436.10000000000008</v>
      </c>
      <c r="P266" s="9">
        <v>490</v>
      </c>
      <c r="Q266" s="41">
        <f>P266*1.8+8</f>
        <v>890</v>
      </c>
    </row>
    <row r="267" spans="1:17" ht="15.75" customHeight="1">
      <c r="A267" s="85"/>
      <c r="B267" s="60"/>
      <c r="C267" s="60"/>
      <c r="D267" s="60"/>
      <c r="E267" s="60"/>
      <c r="F267" s="60"/>
      <c r="G267" s="50"/>
      <c r="H267" s="21" t="s">
        <v>16</v>
      </c>
      <c r="I267" s="21">
        <v>3.6</v>
      </c>
      <c r="J267" s="5" t="s">
        <v>17</v>
      </c>
      <c r="K267" s="28"/>
      <c r="L267" s="23">
        <v>11</v>
      </c>
      <c r="M267" s="8">
        <f t="shared" si="29"/>
        <v>1432.2033898305085</v>
      </c>
      <c r="N267" s="9">
        <f t="shared" si="17"/>
        <v>1274.6610169491526</v>
      </c>
      <c r="O267" s="10">
        <f t="shared" si="18"/>
        <v>1504.1</v>
      </c>
      <c r="P267" s="9">
        <v>1690</v>
      </c>
      <c r="Q267" s="41">
        <f>P267*1.8-52</f>
        <v>2990</v>
      </c>
    </row>
    <row r="268" spans="1:17" ht="15.75" customHeight="1">
      <c r="A268" s="85"/>
      <c r="B268" s="60"/>
      <c r="C268" s="60"/>
      <c r="D268" s="60"/>
      <c r="E268" s="60"/>
      <c r="F268" s="60"/>
      <c r="G268" s="50"/>
      <c r="H268" s="21" t="s">
        <v>16</v>
      </c>
      <c r="I268" s="21">
        <v>9.1</v>
      </c>
      <c r="J268" s="5" t="s">
        <v>17</v>
      </c>
      <c r="K268" s="28"/>
      <c r="L268" s="23">
        <v>11</v>
      </c>
      <c r="M268" s="8">
        <f t="shared" si="29"/>
        <v>3550.8474576271187</v>
      </c>
      <c r="N268" s="9">
        <f t="shared" si="17"/>
        <v>3160.2542372881358</v>
      </c>
      <c r="O268" s="10">
        <f t="shared" si="18"/>
        <v>3729.1</v>
      </c>
      <c r="P268" s="9">
        <v>4190</v>
      </c>
      <c r="Q268" s="41">
        <f>P268*1.8-52</f>
        <v>7490</v>
      </c>
    </row>
    <row r="269" spans="1:17" ht="15.75" customHeight="1">
      <c r="A269" s="85"/>
      <c r="B269" s="61"/>
      <c r="C269" s="61"/>
      <c r="D269" s="61"/>
      <c r="E269" s="61"/>
      <c r="F269" s="61"/>
      <c r="G269" s="51"/>
      <c r="H269" s="21" t="s">
        <v>16</v>
      </c>
      <c r="I269" s="21">
        <v>18.2</v>
      </c>
      <c r="J269" s="5" t="s">
        <v>17</v>
      </c>
      <c r="K269" s="22"/>
      <c r="L269" s="23">
        <v>11</v>
      </c>
      <c r="M269" s="8">
        <f t="shared" si="29"/>
        <v>6771.1864406779669</v>
      </c>
      <c r="N269" s="9">
        <f t="shared" si="17"/>
        <v>6026.3559322033907</v>
      </c>
      <c r="O269" s="10">
        <f t="shared" si="18"/>
        <v>7111.1</v>
      </c>
      <c r="P269" s="9">
        <v>7990</v>
      </c>
      <c r="Q269" s="41">
        <f>P269*1.8+8</f>
        <v>14390</v>
      </c>
    </row>
    <row r="270" spans="1:17" ht="15.75" customHeight="1">
      <c r="A270" s="85"/>
      <c r="B270" s="59">
        <v>89</v>
      </c>
      <c r="C270" s="59" t="s">
        <v>13</v>
      </c>
      <c r="D270" s="59" t="s">
        <v>111</v>
      </c>
      <c r="E270" s="59" t="s">
        <v>15</v>
      </c>
      <c r="F270" s="59" t="s">
        <v>150</v>
      </c>
      <c r="G270" s="49">
        <v>32089090</v>
      </c>
      <c r="H270" s="21" t="s">
        <v>24</v>
      </c>
      <c r="I270" s="21">
        <v>1</v>
      </c>
      <c r="J270" s="5" t="s">
        <v>17</v>
      </c>
      <c r="K270" s="28"/>
      <c r="L270" s="23">
        <v>11</v>
      </c>
      <c r="M270" s="8">
        <f t="shared" si="29"/>
        <v>634.74576271186447</v>
      </c>
      <c r="N270" s="9">
        <f t="shared" si="17"/>
        <v>564.92372881355936</v>
      </c>
      <c r="O270" s="10">
        <f t="shared" si="18"/>
        <v>666.61</v>
      </c>
      <c r="P270" s="9">
        <v>749</v>
      </c>
      <c r="Q270" s="41">
        <f>P270*1.8-58.2</f>
        <v>1290</v>
      </c>
    </row>
    <row r="271" spans="1:17" ht="15.75" customHeight="1">
      <c r="A271" s="85"/>
      <c r="B271" s="60"/>
      <c r="C271" s="60"/>
      <c r="D271" s="60"/>
      <c r="E271" s="60"/>
      <c r="F271" s="60"/>
      <c r="G271" s="50"/>
      <c r="H271" s="21" t="s">
        <v>24</v>
      </c>
      <c r="I271" s="21">
        <v>5</v>
      </c>
      <c r="J271" s="5" t="s">
        <v>17</v>
      </c>
      <c r="K271" s="28"/>
      <c r="L271" s="23">
        <v>11</v>
      </c>
      <c r="M271" s="8">
        <f t="shared" si="29"/>
        <v>3042.3728813559323</v>
      </c>
      <c r="N271" s="9">
        <f t="shared" si="17"/>
        <v>2707.7118644067796</v>
      </c>
      <c r="O271" s="10">
        <f t="shared" si="18"/>
        <v>3195.1</v>
      </c>
      <c r="P271" s="9">
        <v>3590</v>
      </c>
      <c r="Q271" s="41">
        <f>P271*1.8+28</f>
        <v>6490</v>
      </c>
    </row>
    <row r="272" spans="1:17" ht="15.75" customHeight="1">
      <c r="A272" s="85"/>
      <c r="B272" s="61"/>
      <c r="C272" s="61"/>
      <c r="D272" s="61"/>
      <c r="E272" s="61"/>
      <c r="F272" s="61"/>
      <c r="G272" s="51"/>
      <c r="H272" s="21" t="s">
        <v>24</v>
      </c>
      <c r="I272" s="21">
        <v>20</v>
      </c>
      <c r="J272" s="5" t="s">
        <v>17</v>
      </c>
      <c r="K272" s="28"/>
      <c r="L272" s="23">
        <v>11</v>
      </c>
      <c r="M272" s="8">
        <f t="shared" si="29"/>
        <v>11855.932203389832</v>
      </c>
      <c r="N272" s="9">
        <f t="shared" si="17"/>
        <v>10551.77966101695</v>
      </c>
      <c r="O272" s="10">
        <f t="shared" si="18"/>
        <v>12451.1</v>
      </c>
      <c r="P272" s="9">
        <v>13990</v>
      </c>
      <c r="Q272" s="41">
        <f>P272*1.8-192</f>
        <v>24990</v>
      </c>
    </row>
    <row r="273" spans="1:17" ht="15.75" customHeight="1">
      <c r="A273" s="85"/>
      <c r="B273" s="47">
        <v>90</v>
      </c>
      <c r="C273" s="47" t="s">
        <v>13</v>
      </c>
      <c r="D273" s="47" t="s">
        <v>111</v>
      </c>
      <c r="E273" s="47" t="s">
        <v>52</v>
      </c>
      <c r="F273" s="47" t="s">
        <v>113</v>
      </c>
      <c r="G273" s="48">
        <v>32089090</v>
      </c>
      <c r="H273" s="21" t="s">
        <v>24</v>
      </c>
      <c r="I273" s="21">
        <v>1</v>
      </c>
      <c r="J273" s="5" t="s">
        <v>17</v>
      </c>
      <c r="K273" s="28" t="s">
        <v>81</v>
      </c>
      <c r="L273" s="23">
        <v>11</v>
      </c>
      <c r="M273" s="8">
        <f t="shared" si="29"/>
        <v>804.2372881355933</v>
      </c>
      <c r="N273" s="9">
        <f t="shared" si="17"/>
        <v>715.77118644067809</v>
      </c>
      <c r="O273" s="10">
        <f t="shared" si="18"/>
        <v>844.61000000000013</v>
      </c>
      <c r="P273" s="11">
        <v>949</v>
      </c>
      <c r="Q273" s="12">
        <f>P273*1.8-18.2</f>
        <v>1690</v>
      </c>
    </row>
    <row r="274" spans="1:17" ht="15.75" customHeight="1">
      <c r="A274" s="85"/>
      <c r="B274" s="47"/>
      <c r="C274" s="47"/>
      <c r="D274" s="47"/>
      <c r="E274" s="47"/>
      <c r="F274" s="47"/>
      <c r="G274" s="48"/>
      <c r="H274" s="21" t="s">
        <v>24</v>
      </c>
      <c r="I274" s="21">
        <v>5</v>
      </c>
      <c r="J274" s="5" t="s">
        <v>17</v>
      </c>
      <c r="K274" s="28" t="s">
        <v>81</v>
      </c>
      <c r="L274" s="23">
        <v>11</v>
      </c>
      <c r="M274" s="8">
        <f t="shared" si="29"/>
        <v>3889.8305084745766</v>
      </c>
      <c r="N274" s="9">
        <f t="shared" si="17"/>
        <v>3461.9491525423732</v>
      </c>
      <c r="O274" s="10">
        <f t="shared" si="18"/>
        <v>4085.1000000000004</v>
      </c>
      <c r="P274" s="11">
        <v>4590</v>
      </c>
      <c r="Q274" s="12">
        <f>P274*1.8+28</f>
        <v>8290</v>
      </c>
    </row>
    <row r="275" spans="1:17" ht="15.75" customHeight="1">
      <c r="A275" s="85"/>
      <c r="B275" s="47"/>
      <c r="C275" s="47"/>
      <c r="D275" s="47"/>
      <c r="E275" s="47"/>
      <c r="F275" s="47"/>
      <c r="G275" s="48"/>
      <c r="H275" s="21" t="s">
        <v>24</v>
      </c>
      <c r="I275" s="21">
        <v>20</v>
      </c>
      <c r="J275" s="5" t="s">
        <v>17</v>
      </c>
      <c r="K275" s="28" t="s">
        <v>81</v>
      </c>
      <c r="L275" s="23">
        <v>11</v>
      </c>
      <c r="M275" s="8">
        <f t="shared" si="29"/>
        <v>15245.762711864407</v>
      </c>
      <c r="N275" s="9">
        <f t="shared" si="17"/>
        <v>13568.728813559323</v>
      </c>
      <c r="O275" s="10">
        <f t="shared" si="18"/>
        <v>16011.1</v>
      </c>
      <c r="P275" s="11">
        <v>17990</v>
      </c>
      <c r="Q275" s="12">
        <f>P275*1.8+8</f>
        <v>32390</v>
      </c>
    </row>
    <row r="276" spans="1:17" ht="15.75" customHeight="1">
      <c r="A276" s="85"/>
      <c r="B276" s="47">
        <v>91</v>
      </c>
      <c r="C276" s="47" t="s">
        <v>13</v>
      </c>
      <c r="D276" s="47" t="s">
        <v>111</v>
      </c>
      <c r="E276" s="47" t="s">
        <v>52</v>
      </c>
      <c r="F276" s="47" t="s">
        <v>114</v>
      </c>
      <c r="G276" s="48">
        <v>32089090</v>
      </c>
      <c r="H276" s="21" t="s">
        <v>24</v>
      </c>
      <c r="I276" s="21">
        <v>1</v>
      </c>
      <c r="J276" s="5" t="s">
        <v>17</v>
      </c>
      <c r="K276" s="28"/>
      <c r="L276" s="23">
        <v>11</v>
      </c>
      <c r="M276" s="8">
        <f t="shared" si="29"/>
        <v>295.76271186440681</v>
      </c>
      <c r="N276" s="9">
        <f t="shared" si="17"/>
        <v>263.22881355932208</v>
      </c>
      <c r="O276" s="10">
        <f t="shared" si="18"/>
        <v>310.61</v>
      </c>
      <c r="P276" s="11">
        <v>349</v>
      </c>
      <c r="Q276" s="12">
        <f>P276*1.8-38.2</f>
        <v>590</v>
      </c>
    </row>
    <row r="277" spans="1:17" ht="15.75" customHeight="1">
      <c r="A277" s="85"/>
      <c r="B277" s="47"/>
      <c r="C277" s="47"/>
      <c r="D277" s="47"/>
      <c r="E277" s="47"/>
      <c r="F277" s="47"/>
      <c r="G277" s="48"/>
      <c r="H277" s="21" t="s">
        <v>24</v>
      </c>
      <c r="I277" s="21">
        <v>5</v>
      </c>
      <c r="J277" s="5" t="s">
        <v>17</v>
      </c>
      <c r="K277" s="28"/>
      <c r="L277" s="23">
        <v>11</v>
      </c>
      <c r="M277" s="8">
        <f t="shared" si="29"/>
        <v>1397.457627118644</v>
      </c>
      <c r="N277" s="9">
        <f t="shared" si="17"/>
        <v>1243.7372881355932</v>
      </c>
      <c r="O277" s="10">
        <f t="shared" si="18"/>
        <v>1467.61</v>
      </c>
      <c r="P277" s="11">
        <v>1649</v>
      </c>
      <c r="Q277" s="12">
        <f>P277*1.8+21.8</f>
        <v>2990.0000000000005</v>
      </c>
    </row>
    <row r="278" spans="1:17" ht="15.75" customHeight="1">
      <c r="A278" s="85"/>
      <c r="B278" s="47"/>
      <c r="C278" s="47"/>
      <c r="D278" s="47"/>
      <c r="E278" s="47"/>
      <c r="F278" s="47"/>
      <c r="G278" s="48"/>
      <c r="H278" s="21" t="s">
        <v>24</v>
      </c>
      <c r="I278" s="21">
        <v>20</v>
      </c>
      <c r="J278" s="5" t="s">
        <v>17</v>
      </c>
      <c r="K278" s="22"/>
      <c r="L278" s="23">
        <v>11</v>
      </c>
      <c r="M278" s="8">
        <f t="shared" si="29"/>
        <v>5330.5084745762715</v>
      </c>
      <c r="N278" s="9">
        <f t="shared" si="17"/>
        <v>4744.1525423728817</v>
      </c>
      <c r="O278" s="10">
        <f t="shared" si="18"/>
        <v>5598.1</v>
      </c>
      <c r="P278" s="11">
        <v>6290</v>
      </c>
      <c r="Q278" s="12">
        <f>P278*1.8-32</f>
        <v>11290</v>
      </c>
    </row>
    <row r="279" spans="1:17" ht="15.75" customHeight="1">
      <c r="A279" s="85"/>
      <c r="B279" s="47">
        <v>92</v>
      </c>
      <c r="C279" s="47" t="s">
        <v>25</v>
      </c>
      <c r="D279" s="47" t="s">
        <v>115</v>
      </c>
      <c r="E279" s="47" t="s">
        <v>116</v>
      </c>
      <c r="F279" s="47"/>
      <c r="G279" s="48">
        <v>32091090</v>
      </c>
      <c r="H279" s="21" t="s">
        <v>16</v>
      </c>
      <c r="I279" s="21">
        <v>1</v>
      </c>
      <c r="J279" s="5" t="s">
        <v>17</v>
      </c>
      <c r="K279" s="22"/>
      <c r="L279" s="23">
        <v>11</v>
      </c>
      <c r="M279" s="8">
        <f t="shared" si="29"/>
        <v>245.76271186440678</v>
      </c>
      <c r="N279" s="9">
        <f t="shared" si="17"/>
        <v>218.72881355932202</v>
      </c>
      <c r="O279" s="10">
        <f t="shared" si="18"/>
        <v>258.09999999999997</v>
      </c>
      <c r="P279" s="11">
        <v>290</v>
      </c>
      <c r="Q279" s="12">
        <f>P279*1.8-32</f>
        <v>490</v>
      </c>
    </row>
    <row r="280" spans="1:17" ht="15.75" customHeight="1">
      <c r="A280" s="85"/>
      <c r="B280" s="47"/>
      <c r="C280" s="47"/>
      <c r="D280" s="47"/>
      <c r="E280" s="47"/>
      <c r="F280" s="47"/>
      <c r="G280" s="48"/>
      <c r="H280" s="21" t="s">
        <v>16</v>
      </c>
      <c r="I280" s="21">
        <v>5</v>
      </c>
      <c r="J280" s="5" t="s">
        <v>17</v>
      </c>
      <c r="K280" s="22"/>
      <c r="L280" s="23">
        <v>11</v>
      </c>
      <c r="M280" s="8">
        <f t="shared" si="29"/>
        <v>1177.9661016949153</v>
      </c>
      <c r="N280" s="9">
        <f t="shared" si="17"/>
        <v>1048.3898305084747</v>
      </c>
      <c r="O280" s="10">
        <f t="shared" si="18"/>
        <v>1237.1000000000001</v>
      </c>
      <c r="P280" s="11">
        <v>1390</v>
      </c>
      <c r="Q280" s="12">
        <f>P280*1.8-12</f>
        <v>2490</v>
      </c>
    </row>
    <row r="281" spans="1:17" ht="15.75" customHeight="1">
      <c r="A281" s="85"/>
      <c r="B281" s="47"/>
      <c r="C281" s="47"/>
      <c r="D281" s="47"/>
      <c r="E281" s="47"/>
      <c r="F281" s="47"/>
      <c r="G281" s="48"/>
      <c r="H281" s="21" t="s">
        <v>16</v>
      </c>
      <c r="I281" s="21">
        <v>20</v>
      </c>
      <c r="J281" s="5" t="s">
        <v>17</v>
      </c>
      <c r="K281" s="22"/>
      <c r="L281" s="23">
        <v>11</v>
      </c>
      <c r="M281" s="8">
        <f t="shared" si="29"/>
        <v>4652.5423728813557</v>
      </c>
      <c r="N281" s="9">
        <f t="shared" si="17"/>
        <v>4140.7627118644068</v>
      </c>
      <c r="O281" s="10">
        <f t="shared" si="18"/>
        <v>4886.0999999999995</v>
      </c>
      <c r="P281" s="11">
        <v>5490</v>
      </c>
      <c r="Q281" s="12">
        <f>P281*1.8+8</f>
        <v>9890</v>
      </c>
    </row>
    <row r="282" spans="1:17" ht="15.75" customHeight="1">
      <c r="A282" s="85"/>
      <c r="B282" s="47">
        <v>93</v>
      </c>
      <c r="C282" s="47" t="s">
        <v>25</v>
      </c>
      <c r="D282" s="47" t="s">
        <v>115</v>
      </c>
      <c r="E282" s="47" t="s">
        <v>117</v>
      </c>
      <c r="F282" s="47"/>
      <c r="G282" s="48">
        <v>32091090</v>
      </c>
      <c r="H282" s="21" t="s">
        <v>16</v>
      </c>
      <c r="I282" s="21">
        <v>1</v>
      </c>
      <c r="J282" s="5" t="s">
        <v>17</v>
      </c>
      <c r="K282" s="22"/>
      <c r="L282" s="23">
        <v>11</v>
      </c>
      <c r="M282" s="8">
        <f t="shared" si="29"/>
        <v>245.76271186440678</v>
      </c>
      <c r="N282" s="9">
        <f t="shared" si="17"/>
        <v>218.72881355932202</v>
      </c>
      <c r="O282" s="10">
        <f t="shared" si="18"/>
        <v>258.09999999999997</v>
      </c>
      <c r="P282" s="11">
        <v>290</v>
      </c>
      <c r="Q282" s="12">
        <f>P282*1.8-32</f>
        <v>490</v>
      </c>
    </row>
    <row r="283" spans="1:17" ht="15.75" customHeight="1">
      <c r="A283" s="85"/>
      <c r="B283" s="47"/>
      <c r="C283" s="47"/>
      <c r="D283" s="47"/>
      <c r="E283" s="47"/>
      <c r="F283" s="47"/>
      <c r="G283" s="48"/>
      <c r="H283" s="21" t="s">
        <v>16</v>
      </c>
      <c r="I283" s="21">
        <v>5</v>
      </c>
      <c r="J283" s="5" t="s">
        <v>17</v>
      </c>
      <c r="K283" s="22"/>
      <c r="L283" s="23">
        <v>11</v>
      </c>
      <c r="M283" s="8">
        <f t="shared" si="29"/>
        <v>1177.9661016949153</v>
      </c>
      <c r="N283" s="9">
        <f t="shared" si="17"/>
        <v>1048.3898305084747</v>
      </c>
      <c r="O283" s="10">
        <f t="shared" si="18"/>
        <v>1237.1000000000001</v>
      </c>
      <c r="P283" s="11">
        <v>1390</v>
      </c>
      <c r="Q283" s="12">
        <f>P283*1.8-12</f>
        <v>2490</v>
      </c>
    </row>
    <row r="284" spans="1:17" ht="15.75" customHeight="1">
      <c r="A284" s="85"/>
      <c r="B284" s="47"/>
      <c r="C284" s="47"/>
      <c r="D284" s="47"/>
      <c r="E284" s="47"/>
      <c r="F284" s="47"/>
      <c r="G284" s="48"/>
      <c r="H284" s="21" t="s">
        <v>16</v>
      </c>
      <c r="I284" s="21">
        <v>20</v>
      </c>
      <c r="J284" s="5" t="s">
        <v>17</v>
      </c>
      <c r="K284" s="22"/>
      <c r="L284" s="23">
        <v>11</v>
      </c>
      <c r="M284" s="8">
        <f t="shared" si="29"/>
        <v>4652.5423728813557</v>
      </c>
      <c r="N284" s="9">
        <f t="shared" si="17"/>
        <v>4140.7627118644068</v>
      </c>
      <c r="O284" s="10">
        <f t="shared" si="18"/>
        <v>4886.0999999999995</v>
      </c>
      <c r="P284" s="11">
        <v>5490</v>
      </c>
      <c r="Q284" s="12">
        <f>P284*1.8+8</f>
        <v>9890</v>
      </c>
    </row>
    <row r="285" spans="1:17" ht="15.75" customHeight="1">
      <c r="A285" s="85"/>
      <c r="B285" s="47">
        <v>94</v>
      </c>
      <c r="C285" s="47" t="s">
        <v>25</v>
      </c>
      <c r="D285" s="47" t="s">
        <v>115</v>
      </c>
      <c r="E285" s="47" t="s">
        <v>137</v>
      </c>
      <c r="F285" s="47"/>
      <c r="G285" s="48">
        <v>32091090</v>
      </c>
      <c r="H285" s="21" t="s">
        <v>16</v>
      </c>
      <c r="I285" s="21">
        <v>1</v>
      </c>
      <c r="J285" s="5" t="s">
        <v>17</v>
      </c>
      <c r="K285" s="22"/>
      <c r="L285" s="23">
        <v>11</v>
      </c>
      <c r="M285" s="8">
        <f t="shared" si="29"/>
        <v>245.76271186440678</v>
      </c>
      <c r="N285" s="9">
        <f t="shared" si="17"/>
        <v>218.72881355932202</v>
      </c>
      <c r="O285" s="10">
        <f t="shared" si="18"/>
        <v>258.09999999999997</v>
      </c>
      <c r="P285" s="11">
        <v>290</v>
      </c>
      <c r="Q285" s="12">
        <f>P285*1.8-32</f>
        <v>490</v>
      </c>
    </row>
    <row r="286" spans="1:17" ht="15.75" customHeight="1">
      <c r="A286" s="85"/>
      <c r="B286" s="47"/>
      <c r="C286" s="47"/>
      <c r="D286" s="47"/>
      <c r="E286" s="47"/>
      <c r="F286" s="47"/>
      <c r="G286" s="48"/>
      <c r="H286" s="21" t="s">
        <v>16</v>
      </c>
      <c r="I286" s="21">
        <v>5</v>
      </c>
      <c r="J286" s="5" t="s">
        <v>17</v>
      </c>
      <c r="K286" s="22"/>
      <c r="L286" s="23">
        <v>11</v>
      </c>
      <c r="M286" s="8">
        <f t="shared" si="29"/>
        <v>1177.9661016949153</v>
      </c>
      <c r="N286" s="9">
        <f t="shared" si="17"/>
        <v>1048.3898305084747</v>
      </c>
      <c r="O286" s="10">
        <f t="shared" si="18"/>
        <v>1237.1000000000001</v>
      </c>
      <c r="P286" s="11">
        <v>1390</v>
      </c>
      <c r="Q286" s="12">
        <f>P286*1.8-12</f>
        <v>2490</v>
      </c>
    </row>
    <row r="287" spans="1:17" ht="15.75" customHeight="1">
      <c r="A287" s="86"/>
      <c r="B287" s="47"/>
      <c r="C287" s="47"/>
      <c r="D287" s="47"/>
      <c r="E287" s="47"/>
      <c r="F287" s="47"/>
      <c r="G287" s="48"/>
      <c r="H287" s="21" t="s">
        <v>16</v>
      </c>
      <c r="I287" s="21">
        <v>20</v>
      </c>
      <c r="J287" s="5" t="s">
        <v>17</v>
      </c>
      <c r="K287" s="22"/>
      <c r="L287" s="23">
        <v>11</v>
      </c>
      <c r="M287" s="8">
        <f t="shared" si="29"/>
        <v>4652.5423728813557</v>
      </c>
      <c r="N287" s="9">
        <f t="shared" si="17"/>
        <v>4140.7627118644068</v>
      </c>
      <c r="O287" s="10">
        <f t="shared" si="18"/>
        <v>4886.0999999999995</v>
      </c>
      <c r="P287" s="11">
        <v>5490</v>
      </c>
      <c r="Q287" s="12">
        <f>P287*1.8+8</f>
        <v>9890</v>
      </c>
    </row>
    <row r="288" spans="1:17" ht="15.75" customHeight="1">
      <c r="A288" s="87" t="s">
        <v>118</v>
      </c>
      <c r="B288" s="1">
        <v>95</v>
      </c>
      <c r="C288" s="1" t="s">
        <v>25</v>
      </c>
      <c r="D288" s="1" t="s">
        <v>14</v>
      </c>
      <c r="E288" s="1" t="s">
        <v>15</v>
      </c>
      <c r="F288" s="1" t="s">
        <v>26</v>
      </c>
      <c r="G288" s="2"/>
      <c r="H288" s="21" t="s">
        <v>27</v>
      </c>
      <c r="I288" s="21">
        <v>20</v>
      </c>
      <c r="J288" s="5" t="s">
        <v>28</v>
      </c>
      <c r="K288" s="22"/>
      <c r="L288" s="23">
        <v>11</v>
      </c>
      <c r="M288" s="8">
        <f t="shared" si="29"/>
        <v>4228.8135593220341</v>
      </c>
      <c r="N288" s="9">
        <f t="shared" si="17"/>
        <v>3763.6440677966102</v>
      </c>
      <c r="O288" s="10">
        <f t="shared" si="18"/>
        <v>4441.0999999999995</v>
      </c>
      <c r="P288" s="11">
        <v>4990</v>
      </c>
      <c r="Q288" s="12">
        <f>P288*1.8+8</f>
        <v>8990</v>
      </c>
    </row>
    <row r="289" spans="1:17" ht="15.75" customHeight="1">
      <c r="A289" s="87"/>
      <c r="B289" s="47">
        <v>96</v>
      </c>
      <c r="C289" s="47" t="s">
        <v>13</v>
      </c>
      <c r="D289" s="47" t="s">
        <v>26</v>
      </c>
      <c r="E289" s="47" t="s">
        <v>66</v>
      </c>
      <c r="F289" s="47"/>
      <c r="G289" s="48">
        <v>39100090</v>
      </c>
      <c r="H289" s="21" t="s">
        <v>16</v>
      </c>
      <c r="I289" s="21">
        <v>1</v>
      </c>
      <c r="J289" s="5" t="s">
        <v>17</v>
      </c>
      <c r="K289" s="22"/>
      <c r="L289" s="23">
        <v>11</v>
      </c>
      <c r="M289" s="8">
        <f t="shared" si="29"/>
        <v>415.25423728813564</v>
      </c>
      <c r="N289" s="9">
        <f t="shared" si="17"/>
        <v>369.57627118644075</v>
      </c>
      <c r="O289" s="10">
        <f t="shared" si="18"/>
        <v>436.10000000000008</v>
      </c>
      <c r="P289" s="11">
        <v>490</v>
      </c>
      <c r="Q289" s="12">
        <f>P289*1.8+8</f>
        <v>890</v>
      </c>
    </row>
    <row r="290" spans="1:17" ht="15.75" customHeight="1">
      <c r="A290" s="87"/>
      <c r="B290" s="47"/>
      <c r="C290" s="47"/>
      <c r="D290" s="47"/>
      <c r="E290" s="47"/>
      <c r="F290" s="47"/>
      <c r="G290" s="48"/>
      <c r="H290" s="21" t="s">
        <v>16</v>
      </c>
      <c r="I290" s="21">
        <v>3.6</v>
      </c>
      <c r="J290" s="5" t="s">
        <v>17</v>
      </c>
      <c r="K290" s="22"/>
      <c r="L290" s="23">
        <v>11</v>
      </c>
      <c r="M290" s="8">
        <f t="shared" si="29"/>
        <v>1347.457627118644</v>
      </c>
      <c r="N290" s="9">
        <f t="shared" si="17"/>
        <v>1199.2372881355932</v>
      </c>
      <c r="O290" s="10">
        <f t="shared" si="18"/>
        <v>1415.1</v>
      </c>
      <c r="P290" s="11">
        <v>1590</v>
      </c>
      <c r="Q290" s="12">
        <f>P290*1.8+28</f>
        <v>2890</v>
      </c>
    </row>
    <row r="291" spans="1:17" ht="15.75" customHeight="1">
      <c r="A291" s="87"/>
      <c r="B291" s="47"/>
      <c r="C291" s="47"/>
      <c r="D291" s="47"/>
      <c r="E291" s="47"/>
      <c r="F291" s="47"/>
      <c r="G291" s="48"/>
      <c r="H291" s="21" t="s">
        <v>16</v>
      </c>
      <c r="I291" s="21">
        <v>9.1</v>
      </c>
      <c r="J291" s="5" t="s">
        <v>17</v>
      </c>
      <c r="K291" s="22"/>
      <c r="L291" s="23">
        <v>11</v>
      </c>
      <c r="M291" s="8">
        <f t="shared" si="29"/>
        <v>3296.6101694915255</v>
      </c>
      <c r="N291" s="9">
        <f t="shared" si="17"/>
        <v>2933.9830508474579</v>
      </c>
      <c r="O291" s="10">
        <f t="shared" si="18"/>
        <v>3462.1</v>
      </c>
      <c r="P291" s="11">
        <v>3890</v>
      </c>
      <c r="Q291" s="12">
        <f>P291*1.8-12</f>
        <v>6990</v>
      </c>
    </row>
    <row r="292" spans="1:17" ht="15.75" customHeight="1">
      <c r="A292" s="87"/>
      <c r="B292" s="47"/>
      <c r="C292" s="47"/>
      <c r="D292" s="47"/>
      <c r="E292" s="47"/>
      <c r="F292" s="47"/>
      <c r="G292" s="48"/>
      <c r="H292" s="21" t="s">
        <v>16</v>
      </c>
      <c r="I292" s="21">
        <v>18.2</v>
      </c>
      <c r="J292" s="5" t="s">
        <v>17</v>
      </c>
      <c r="K292" s="22"/>
      <c r="L292" s="23">
        <v>11</v>
      </c>
      <c r="M292" s="8">
        <f t="shared" si="29"/>
        <v>6347.4576271186443</v>
      </c>
      <c r="N292" s="9">
        <f t="shared" si="17"/>
        <v>5649.2372881355932</v>
      </c>
      <c r="O292" s="10">
        <f t="shared" si="18"/>
        <v>6666.0999999999995</v>
      </c>
      <c r="P292" s="11">
        <v>7490</v>
      </c>
      <c r="Q292" s="12">
        <f>P292*1.8+8</f>
        <v>13490</v>
      </c>
    </row>
    <row r="293" spans="1:17" ht="15.75" customHeight="1">
      <c r="A293" s="87"/>
      <c r="B293" s="47">
        <v>97</v>
      </c>
      <c r="C293" s="47" t="s">
        <v>13</v>
      </c>
      <c r="D293" s="47" t="s">
        <v>26</v>
      </c>
      <c r="E293" s="47" t="s">
        <v>119</v>
      </c>
      <c r="F293" s="47"/>
      <c r="G293" s="48">
        <v>39073010</v>
      </c>
      <c r="H293" s="21" t="s">
        <v>24</v>
      </c>
      <c r="I293" s="21">
        <v>3</v>
      </c>
      <c r="J293" s="5" t="s">
        <v>17</v>
      </c>
      <c r="K293" s="22"/>
      <c r="L293" s="23">
        <v>11</v>
      </c>
      <c r="M293" s="8">
        <f t="shared" si="29"/>
        <v>1940.6779661016951</v>
      </c>
      <c r="N293" s="9">
        <f t="shared" si="17"/>
        <v>1727.2033898305087</v>
      </c>
      <c r="O293" s="10">
        <f t="shared" si="18"/>
        <v>2038.1000000000001</v>
      </c>
      <c r="P293" s="11">
        <v>2290</v>
      </c>
      <c r="Q293" s="12">
        <f>P293*1.8-32</f>
        <v>4090</v>
      </c>
    </row>
    <row r="294" spans="1:17" ht="15.75" customHeight="1">
      <c r="A294" s="87"/>
      <c r="B294" s="47"/>
      <c r="C294" s="47"/>
      <c r="D294" s="47"/>
      <c r="E294" s="47"/>
      <c r="F294" s="47"/>
      <c r="G294" s="48"/>
      <c r="H294" s="21" t="s">
        <v>24</v>
      </c>
      <c r="I294" s="21">
        <v>15</v>
      </c>
      <c r="J294" s="5" t="s">
        <v>17</v>
      </c>
      <c r="K294" s="22"/>
      <c r="L294" s="23">
        <v>11</v>
      </c>
      <c r="M294" s="8">
        <f t="shared" si="29"/>
        <v>8889.8305084745771</v>
      </c>
      <c r="N294" s="9">
        <f t="shared" si="17"/>
        <v>7911.9491525423737</v>
      </c>
      <c r="O294" s="10">
        <f t="shared" si="18"/>
        <v>9336.1</v>
      </c>
      <c r="P294" s="11">
        <v>10490</v>
      </c>
      <c r="Q294" s="12">
        <f>P294*1.8+8</f>
        <v>18890</v>
      </c>
    </row>
    <row r="295" spans="1:17" ht="15.75" customHeight="1">
      <c r="A295" s="87"/>
      <c r="B295" s="47"/>
      <c r="C295" s="47"/>
      <c r="D295" s="47"/>
      <c r="E295" s="47"/>
      <c r="F295" s="47"/>
      <c r="G295" s="48"/>
      <c r="H295" s="21" t="s">
        <v>24</v>
      </c>
      <c r="I295" s="21">
        <v>30</v>
      </c>
      <c r="J295" s="5" t="s">
        <v>17</v>
      </c>
      <c r="K295" s="22"/>
      <c r="L295" s="23">
        <v>11</v>
      </c>
      <c r="M295" s="8">
        <f t="shared" si="29"/>
        <v>16940.677966101695</v>
      </c>
      <c r="N295" s="9">
        <f t="shared" si="17"/>
        <v>15077.203389830509</v>
      </c>
      <c r="O295" s="10">
        <f t="shared" si="18"/>
        <v>17791.099999999999</v>
      </c>
      <c r="P295" s="11">
        <v>19990</v>
      </c>
      <c r="Q295" s="12">
        <f>P295*1.8-192</f>
        <v>35790</v>
      </c>
    </row>
    <row r="296" spans="1:17" ht="15.75" customHeight="1">
      <c r="A296" s="87"/>
      <c r="B296" s="47">
        <v>98</v>
      </c>
      <c r="C296" s="47" t="s">
        <v>13</v>
      </c>
      <c r="D296" s="47" t="s">
        <v>26</v>
      </c>
      <c r="E296" s="47" t="s">
        <v>66</v>
      </c>
      <c r="F296" s="47" t="s">
        <v>24</v>
      </c>
      <c r="G296" s="48">
        <v>39095000</v>
      </c>
      <c r="H296" s="21" t="s">
        <v>24</v>
      </c>
      <c r="I296" s="21">
        <v>1</v>
      </c>
      <c r="J296" s="5" t="s">
        <v>17</v>
      </c>
      <c r="K296" s="28" t="s">
        <v>81</v>
      </c>
      <c r="L296" s="23">
        <v>14</v>
      </c>
      <c r="M296" s="8">
        <f t="shared" si="29"/>
        <v>838.98305084745766</v>
      </c>
      <c r="N296" s="9">
        <f t="shared" si="17"/>
        <v>721.52542372881362</v>
      </c>
      <c r="O296" s="10">
        <f t="shared" si="18"/>
        <v>851.4</v>
      </c>
      <c r="P296" s="11">
        <v>990</v>
      </c>
      <c r="Q296" s="12">
        <f>P296*1.8+8</f>
        <v>1790</v>
      </c>
    </row>
    <row r="297" spans="1:17" ht="15.75" customHeight="1">
      <c r="A297" s="87"/>
      <c r="B297" s="47"/>
      <c r="C297" s="47"/>
      <c r="D297" s="47"/>
      <c r="E297" s="47"/>
      <c r="F297" s="47"/>
      <c r="G297" s="48"/>
      <c r="H297" s="21" t="s">
        <v>24</v>
      </c>
      <c r="I297" s="21">
        <v>5</v>
      </c>
      <c r="J297" s="5" t="s">
        <v>17</v>
      </c>
      <c r="K297" s="28" t="s">
        <v>81</v>
      </c>
      <c r="L297" s="23">
        <v>14</v>
      </c>
      <c r="M297" s="8">
        <f t="shared" si="29"/>
        <v>4144.0677966101694</v>
      </c>
      <c r="N297" s="9">
        <f t="shared" si="17"/>
        <v>3563.8983050847455</v>
      </c>
      <c r="O297" s="10">
        <f t="shared" si="18"/>
        <v>4205.3999999999996</v>
      </c>
      <c r="P297" s="11">
        <v>4890</v>
      </c>
      <c r="Q297" s="12">
        <f>P297*1.8-12</f>
        <v>8790</v>
      </c>
    </row>
    <row r="298" spans="1:17" ht="15.75" customHeight="1">
      <c r="A298" s="87"/>
      <c r="B298" s="47"/>
      <c r="C298" s="47"/>
      <c r="D298" s="47"/>
      <c r="E298" s="47"/>
      <c r="F298" s="47"/>
      <c r="G298" s="48"/>
      <c r="H298" s="21" t="s">
        <v>24</v>
      </c>
      <c r="I298" s="21">
        <v>10</v>
      </c>
      <c r="J298" s="5" t="s">
        <v>17</v>
      </c>
      <c r="K298" s="28" t="s">
        <v>81</v>
      </c>
      <c r="L298" s="23">
        <v>14</v>
      </c>
      <c r="M298" s="8">
        <f t="shared" si="29"/>
        <v>8211.8644067796613</v>
      </c>
      <c r="N298" s="9">
        <f t="shared" si="17"/>
        <v>7062.203389830509</v>
      </c>
      <c r="O298" s="10">
        <f t="shared" si="18"/>
        <v>8333.4</v>
      </c>
      <c r="P298" s="11">
        <v>9690</v>
      </c>
      <c r="Q298" s="12">
        <f>P298*1.8+48</f>
        <v>17490</v>
      </c>
    </row>
    <row r="299" spans="1:17" ht="15.75" customHeight="1">
      <c r="A299" s="87"/>
      <c r="B299" s="47"/>
      <c r="C299" s="47"/>
      <c r="D299" s="47"/>
      <c r="E299" s="47"/>
      <c r="F299" s="47"/>
      <c r="G299" s="48"/>
      <c r="H299" s="21" t="s">
        <v>24</v>
      </c>
      <c r="I299" s="21">
        <v>20</v>
      </c>
      <c r="J299" s="5" t="s">
        <v>17</v>
      </c>
      <c r="K299" s="28" t="s">
        <v>81</v>
      </c>
      <c r="L299" s="23">
        <v>14</v>
      </c>
      <c r="M299" s="8">
        <f t="shared" si="29"/>
        <v>16093.220338983052</v>
      </c>
      <c r="N299" s="9">
        <f t="shared" si="17"/>
        <v>13840.169491525425</v>
      </c>
      <c r="O299" s="10">
        <f t="shared" si="18"/>
        <v>16331.4</v>
      </c>
      <c r="P299" s="11">
        <v>18990</v>
      </c>
      <c r="Q299" s="12">
        <f>P299*1.8+8</f>
        <v>34190</v>
      </c>
    </row>
    <row r="300" spans="1:17" ht="15.75" customHeight="1">
      <c r="A300" s="87"/>
      <c r="B300" s="59">
        <v>99</v>
      </c>
      <c r="C300" s="59" t="s">
        <v>13</v>
      </c>
      <c r="D300" s="59" t="s">
        <v>120</v>
      </c>
      <c r="E300" s="59" t="s">
        <v>121</v>
      </c>
      <c r="F300" s="59" t="s">
        <v>122</v>
      </c>
      <c r="G300" s="49">
        <v>39073010</v>
      </c>
      <c r="H300" s="21" t="s">
        <v>24</v>
      </c>
      <c r="I300" s="21">
        <v>12</v>
      </c>
      <c r="J300" s="5" t="s">
        <v>17</v>
      </c>
      <c r="K300" s="22"/>
      <c r="L300" s="23">
        <v>11</v>
      </c>
      <c r="M300" s="8">
        <f t="shared" si="29"/>
        <v>3635.5932203389834</v>
      </c>
      <c r="N300" s="9">
        <f t="shared" si="17"/>
        <v>3235.6779661016953</v>
      </c>
      <c r="O300" s="10">
        <f t="shared" si="18"/>
        <v>3818.1000000000004</v>
      </c>
      <c r="P300" s="11">
        <v>4290</v>
      </c>
      <c r="Q300" s="12">
        <f>P300*1.8-32</f>
        <v>7690</v>
      </c>
    </row>
    <row r="301" spans="1:17" ht="15.75" customHeight="1">
      <c r="A301" s="87"/>
      <c r="B301" s="61"/>
      <c r="C301" s="61"/>
      <c r="D301" s="61"/>
      <c r="E301" s="61"/>
      <c r="F301" s="61"/>
      <c r="G301" s="51"/>
      <c r="H301" s="21" t="s">
        <v>24</v>
      </c>
      <c r="I301" s="21">
        <v>24</v>
      </c>
      <c r="J301" s="5" t="s">
        <v>17</v>
      </c>
      <c r="K301" s="22"/>
      <c r="L301" s="23">
        <v>11</v>
      </c>
      <c r="M301" s="8">
        <f t="shared" si="29"/>
        <v>7194.9152542372885</v>
      </c>
      <c r="N301" s="9">
        <f t="shared" si="17"/>
        <v>6403.4745762711864</v>
      </c>
      <c r="O301" s="10">
        <f t="shared" si="18"/>
        <v>7556.0999999999995</v>
      </c>
      <c r="P301" s="11">
        <v>8490</v>
      </c>
      <c r="Q301" s="12">
        <f>P301*1.8-92</f>
        <v>15190</v>
      </c>
    </row>
    <row r="302" spans="1:17" ht="15.75" customHeight="1">
      <c r="A302" s="87"/>
      <c r="B302" s="47">
        <v>100</v>
      </c>
      <c r="C302" s="47" t="s">
        <v>13</v>
      </c>
      <c r="D302" s="47" t="s">
        <v>120</v>
      </c>
      <c r="E302" s="47" t="s">
        <v>121</v>
      </c>
      <c r="F302" s="47" t="s">
        <v>123</v>
      </c>
      <c r="G302" s="48">
        <v>39073010</v>
      </c>
      <c r="H302" s="21" t="s">
        <v>27</v>
      </c>
      <c r="I302" s="21">
        <v>45</v>
      </c>
      <c r="J302" s="5" t="s">
        <v>17</v>
      </c>
      <c r="K302" s="22"/>
      <c r="L302" s="23">
        <v>11</v>
      </c>
      <c r="M302" s="8">
        <f t="shared" si="29"/>
        <v>8127.1186440677966</v>
      </c>
      <c r="N302" s="9">
        <f t="shared" si="17"/>
        <v>7233.1355932203387</v>
      </c>
      <c r="O302" s="10">
        <f t="shared" si="18"/>
        <v>8535.0999999999985</v>
      </c>
      <c r="P302" s="11">
        <v>9590</v>
      </c>
      <c r="Q302" s="12">
        <f>P302*1.8+28</f>
        <v>17290</v>
      </c>
    </row>
    <row r="303" spans="1:17" ht="15.75" customHeight="1">
      <c r="A303" s="87"/>
      <c r="B303" s="47"/>
      <c r="C303" s="47"/>
      <c r="D303" s="47"/>
      <c r="E303" s="47"/>
      <c r="F303" s="47"/>
      <c r="G303" s="48"/>
      <c r="H303" s="21" t="s">
        <v>27</v>
      </c>
      <c r="I303" s="21">
        <v>90</v>
      </c>
      <c r="J303" s="5" t="s">
        <v>17</v>
      </c>
      <c r="K303" s="22"/>
      <c r="L303" s="23">
        <v>11</v>
      </c>
      <c r="M303" s="8">
        <f t="shared" si="29"/>
        <v>16093.220338983052</v>
      </c>
      <c r="N303" s="9">
        <f t="shared" si="17"/>
        <v>14322.966101694916</v>
      </c>
      <c r="O303" s="10">
        <f t="shared" si="18"/>
        <v>16901.099999999999</v>
      </c>
      <c r="P303" s="11">
        <v>18990</v>
      </c>
      <c r="Q303" s="12">
        <f>P303*1.8+8</f>
        <v>34190</v>
      </c>
    </row>
    <row r="304" spans="1:17" ht="15.75" customHeight="1">
      <c r="A304" s="87"/>
      <c r="B304" s="59">
        <v>101</v>
      </c>
      <c r="C304" s="59" t="s">
        <v>13</v>
      </c>
      <c r="D304" s="59" t="s">
        <v>120</v>
      </c>
      <c r="E304" s="59" t="s">
        <v>121</v>
      </c>
      <c r="F304" s="59" t="s">
        <v>124</v>
      </c>
      <c r="G304" s="49">
        <v>39073010</v>
      </c>
      <c r="H304" s="21" t="s">
        <v>27</v>
      </c>
      <c r="I304" s="21">
        <v>25</v>
      </c>
      <c r="J304" s="5" t="s">
        <v>17</v>
      </c>
      <c r="K304" s="22"/>
      <c r="L304" s="23">
        <v>11</v>
      </c>
      <c r="M304" s="8">
        <f t="shared" si="29"/>
        <v>5076.2711864406783</v>
      </c>
      <c r="N304" s="9">
        <f t="shared" si="17"/>
        <v>4517.8813559322034</v>
      </c>
      <c r="O304" s="10">
        <f t="shared" si="18"/>
        <v>5331.0999999999995</v>
      </c>
      <c r="P304" s="11">
        <v>5990</v>
      </c>
      <c r="Q304" s="12">
        <f>P304*1.8+8</f>
        <v>10790</v>
      </c>
    </row>
    <row r="305" spans="1:17" ht="15.75" customHeight="1">
      <c r="A305" s="87"/>
      <c r="B305" s="61"/>
      <c r="C305" s="61"/>
      <c r="D305" s="61"/>
      <c r="E305" s="61"/>
      <c r="F305" s="61"/>
      <c r="G305" s="51"/>
      <c r="H305" s="21" t="s">
        <v>27</v>
      </c>
      <c r="I305" s="21">
        <v>50</v>
      </c>
      <c r="J305" s="5" t="s">
        <v>17</v>
      </c>
      <c r="K305" s="22"/>
      <c r="L305" s="23">
        <v>11</v>
      </c>
      <c r="M305" s="8">
        <f t="shared" si="29"/>
        <v>9906.7796610169498</v>
      </c>
      <c r="N305" s="9">
        <f t="shared" si="17"/>
        <v>8817.033898305086</v>
      </c>
      <c r="O305" s="10">
        <f t="shared" si="18"/>
        <v>10404.1</v>
      </c>
      <c r="P305" s="11">
        <v>11690</v>
      </c>
      <c r="Q305" s="12">
        <f>P305*1.8+48</f>
        <v>21090</v>
      </c>
    </row>
    <row r="306" spans="1:17" ht="15.75" customHeight="1">
      <c r="A306" s="87"/>
      <c r="B306" s="59">
        <v>102</v>
      </c>
      <c r="C306" s="59" t="s">
        <v>13</v>
      </c>
      <c r="D306" s="59" t="s">
        <v>120</v>
      </c>
      <c r="E306" s="59" t="s">
        <v>121</v>
      </c>
      <c r="F306" s="59" t="s">
        <v>125</v>
      </c>
      <c r="G306" s="49">
        <v>39073010</v>
      </c>
      <c r="H306" s="21" t="s">
        <v>24</v>
      </c>
      <c r="I306" s="21">
        <v>12</v>
      </c>
      <c r="J306" s="5" t="s">
        <v>17</v>
      </c>
      <c r="K306" s="22"/>
      <c r="L306" s="23">
        <v>11</v>
      </c>
      <c r="M306" s="8">
        <f t="shared" si="29"/>
        <v>6686.4406779661022</v>
      </c>
      <c r="N306" s="9">
        <f t="shared" si="17"/>
        <v>5950.9322033898306</v>
      </c>
      <c r="O306" s="10">
        <f t="shared" si="18"/>
        <v>7022.0999999999995</v>
      </c>
      <c r="P306" s="11">
        <v>7890</v>
      </c>
      <c r="Q306" s="12">
        <f>P306*1.8-12</f>
        <v>14190</v>
      </c>
    </row>
    <row r="307" spans="1:17" ht="15.75" customHeight="1">
      <c r="A307" s="87"/>
      <c r="B307" s="61"/>
      <c r="C307" s="61"/>
      <c r="D307" s="61"/>
      <c r="E307" s="61"/>
      <c r="F307" s="61"/>
      <c r="G307" s="51"/>
      <c r="H307" s="21" t="s">
        <v>24</v>
      </c>
      <c r="I307" s="21">
        <v>24</v>
      </c>
      <c r="J307" s="5" t="s">
        <v>17</v>
      </c>
      <c r="K307" s="22"/>
      <c r="L307" s="23">
        <v>11</v>
      </c>
      <c r="M307" s="8">
        <f t="shared" si="29"/>
        <v>13127.118644067798</v>
      </c>
      <c r="N307" s="9">
        <f t="shared" si="17"/>
        <v>11683.135593220341</v>
      </c>
      <c r="O307" s="10">
        <f t="shared" si="18"/>
        <v>13786.1</v>
      </c>
      <c r="P307" s="11">
        <v>15490</v>
      </c>
      <c r="Q307" s="12">
        <f>P307*1.8+8</f>
        <v>27890</v>
      </c>
    </row>
    <row r="308" spans="1:17" ht="15.75" customHeight="1">
      <c r="A308" s="87"/>
      <c r="B308" s="59">
        <v>103</v>
      </c>
      <c r="C308" s="59" t="s">
        <v>13</v>
      </c>
      <c r="D308" s="59" t="s">
        <v>120</v>
      </c>
      <c r="E308" s="59" t="s">
        <v>121</v>
      </c>
      <c r="F308" s="59" t="s">
        <v>126</v>
      </c>
      <c r="G308" s="48"/>
      <c r="H308" s="21" t="s">
        <v>27</v>
      </c>
      <c r="I308" s="21">
        <v>15</v>
      </c>
      <c r="J308" s="5" t="s">
        <v>17</v>
      </c>
      <c r="K308" s="22"/>
      <c r="L308" s="23">
        <v>11</v>
      </c>
      <c r="M308" s="8">
        <f t="shared" si="29"/>
        <v>8466.1016949152545</v>
      </c>
      <c r="N308" s="9">
        <f t="shared" si="17"/>
        <v>7534.8305084745762</v>
      </c>
      <c r="O308" s="10">
        <f t="shared" si="18"/>
        <v>8891.0999999999985</v>
      </c>
      <c r="P308" s="11">
        <v>9990</v>
      </c>
      <c r="Q308" s="12">
        <f>P308*1.8+8</f>
        <v>17990</v>
      </c>
    </row>
    <row r="309" spans="1:17" ht="15.75" customHeight="1">
      <c r="A309" s="87"/>
      <c r="B309" s="61"/>
      <c r="C309" s="61"/>
      <c r="D309" s="61"/>
      <c r="E309" s="61"/>
      <c r="F309" s="61"/>
      <c r="G309" s="48"/>
      <c r="H309" s="21" t="s">
        <v>27</v>
      </c>
      <c r="I309" s="21">
        <v>30</v>
      </c>
      <c r="J309" s="5" t="s">
        <v>17</v>
      </c>
      <c r="K309" s="22"/>
      <c r="L309" s="23">
        <v>11</v>
      </c>
      <c r="M309" s="8">
        <f t="shared" si="29"/>
        <v>16516.949152542373</v>
      </c>
      <c r="N309" s="9">
        <f t="shared" si="17"/>
        <v>14700.084745762711</v>
      </c>
      <c r="O309" s="10">
        <f t="shared" si="18"/>
        <v>17346.099999999999</v>
      </c>
      <c r="P309" s="11">
        <v>19490</v>
      </c>
      <c r="Q309" s="12">
        <f>P309*1.8-92</f>
        <v>34990</v>
      </c>
    </row>
    <row r="310" spans="1:17" ht="15.75" customHeight="1">
      <c r="A310" s="87"/>
      <c r="B310" s="59">
        <v>104</v>
      </c>
      <c r="C310" s="59" t="s">
        <v>13</v>
      </c>
      <c r="D310" s="59" t="s">
        <v>120</v>
      </c>
      <c r="E310" s="59" t="s">
        <v>121</v>
      </c>
      <c r="F310" s="59" t="s">
        <v>127</v>
      </c>
      <c r="G310" s="48"/>
      <c r="H310" s="21" t="s">
        <v>24</v>
      </c>
      <c r="I310" s="21">
        <v>15</v>
      </c>
      <c r="J310" s="5" t="s">
        <v>17</v>
      </c>
      <c r="K310" s="22"/>
      <c r="L310" s="23">
        <v>11</v>
      </c>
      <c r="M310" s="8">
        <f t="shared" si="29"/>
        <v>4483.0508474576272</v>
      </c>
      <c r="N310" s="9">
        <f t="shared" si="17"/>
        <v>3989.9152542372881</v>
      </c>
      <c r="O310" s="10">
        <f t="shared" si="18"/>
        <v>4708.0999999999995</v>
      </c>
      <c r="P310" s="11">
        <v>5290</v>
      </c>
      <c r="Q310" s="12">
        <f>P310*1.8-32</f>
        <v>9490</v>
      </c>
    </row>
    <row r="311" spans="1:17" ht="15.75" customHeight="1">
      <c r="A311" s="87"/>
      <c r="B311" s="61"/>
      <c r="C311" s="61"/>
      <c r="D311" s="61"/>
      <c r="E311" s="61"/>
      <c r="F311" s="61"/>
      <c r="G311" s="48"/>
      <c r="H311" s="21" t="s">
        <v>24</v>
      </c>
      <c r="I311" s="21">
        <v>30</v>
      </c>
      <c r="J311" s="5" t="s">
        <v>17</v>
      </c>
      <c r="K311" s="22"/>
      <c r="L311" s="23">
        <v>11</v>
      </c>
      <c r="M311" s="8">
        <f t="shared" si="29"/>
        <v>8889.8305084745771</v>
      </c>
      <c r="N311" s="9">
        <f t="shared" si="17"/>
        <v>7911.9491525423737</v>
      </c>
      <c r="O311" s="10">
        <f t="shared" si="18"/>
        <v>9336.1</v>
      </c>
      <c r="P311" s="11">
        <v>10490</v>
      </c>
      <c r="Q311" s="12">
        <f>P311*1.8+8</f>
        <v>18890</v>
      </c>
    </row>
    <row r="312" spans="1:17" ht="15.75" customHeight="1">
      <c r="A312" s="87"/>
      <c r="B312" s="1">
        <v>105</v>
      </c>
      <c r="C312" s="1" t="s">
        <v>13</v>
      </c>
      <c r="D312" s="1" t="s">
        <v>79</v>
      </c>
      <c r="E312" s="1" t="s">
        <v>121</v>
      </c>
      <c r="F312" s="1"/>
      <c r="G312" s="2">
        <v>39069090</v>
      </c>
      <c r="H312" s="21" t="s">
        <v>24</v>
      </c>
      <c r="I312" s="21">
        <v>20</v>
      </c>
      <c r="J312" s="5" t="s">
        <v>17</v>
      </c>
      <c r="K312" s="22"/>
      <c r="L312" s="23">
        <v>11</v>
      </c>
      <c r="M312" s="8">
        <f t="shared" si="29"/>
        <v>0</v>
      </c>
      <c r="N312" s="9">
        <f t="shared" si="17"/>
        <v>0</v>
      </c>
      <c r="O312" s="10">
        <f t="shared" si="18"/>
        <v>0</v>
      </c>
      <c r="P312" s="11">
        <v>0</v>
      </c>
      <c r="Q312" s="12">
        <f>P312*1.8</f>
        <v>0</v>
      </c>
    </row>
    <row r="313" spans="1:17" ht="15.75" customHeight="1">
      <c r="A313" s="87"/>
      <c r="B313" s="2">
        <v>106</v>
      </c>
      <c r="C313" s="32" t="s">
        <v>13</v>
      </c>
      <c r="D313" s="32" t="s">
        <v>26</v>
      </c>
      <c r="E313" s="32" t="s">
        <v>15</v>
      </c>
      <c r="F313" s="32" t="s">
        <v>128</v>
      </c>
      <c r="G313" s="2"/>
      <c r="H313" s="33" t="s">
        <v>27</v>
      </c>
      <c r="I313" s="33">
        <v>20</v>
      </c>
      <c r="J313" s="34" t="s">
        <v>17</v>
      </c>
      <c r="K313" s="35"/>
      <c r="L313" s="36">
        <v>11</v>
      </c>
      <c r="M313" s="37">
        <f>P313/1.18</f>
        <v>3381.3559322033898</v>
      </c>
      <c r="N313" s="38">
        <f>M313-M313*L313%</f>
        <v>3009.406779661017</v>
      </c>
      <c r="O313" s="10">
        <f t="shared" si="18"/>
        <v>3551.1</v>
      </c>
      <c r="P313" s="39">
        <v>3990</v>
      </c>
      <c r="Q313" s="40">
        <f>P313*1.8-192</f>
        <v>6990</v>
      </c>
    </row>
    <row r="314" spans="1:17" ht="15.75" customHeight="1">
      <c r="A314" s="87"/>
      <c r="B314" s="47">
        <v>107</v>
      </c>
      <c r="C314" s="47" t="s">
        <v>13</v>
      </c>
      <c r="D314" s="47" t="s">
        <v>129</v>
      </c>
      <c r="E314" s="47" t="s">
        <v>15</v>
      </c>
      <c r="F314" s="47" t="s">
        <v>130</v>
      </c>
      <c r="G314" s="48">
        <v>39095000</v>
      </c>
      <c r="H314" s="21" t="s">
        <v>24</v>
      </c>
      <c r="I314" s="21">
        <v>1</v>
      </c>
      <c r="J314" s="5" t="s">
        <v>17</v>
      </c>
      <c r="K314" s="22"/>
      <c r="L314" s="23">
        <v>11</v>
      </c>
      <c r="M314" s="8">
        <f t="shared" ref="M314:M333" si="30">P314/1.18</f>
        <v>1227.9661016949153</v>
      </c>
      <c r="N314" s="9">
        <f t="shared" ref="N314:N333" si="31">M314-M314*L314%</f>
        <v>1092.8898305084747</v>
      </c>
      <c r="O314" s="10">
        <f t="shared" si="18"/>
        <v>1289.6100000000001</v>
      </c>
      <c r="P314" s="11">
        <v>1449</v>
      </c>
      <c r="Q314" s="12">
        <f>P314*1.8-18.2</f>
        <v>2590.0000000000005</v>
      </c>
    </row>
    <row r="315" spans="1:17" ht="15.75" customHeight="1">
      <c r="A315" s="87"/>
      <c r="B315" s="47"/>
      <c r="C315" s="47"/>
      <c r="D315" s="47"/>
      <c r="E315" s="47"/>
      <c r="F315" s="47"/>
      <c r="G315" s="48"/>
      <c r="H315" s="21" t="s">
        <v>24</v>
      </c>
      <c r="I315" s="21">
        <v>5</v>
      </c>
      <c r="J315" s="5" t="s">
        <v>17</v>
      </c>
      <c r="K315" s="22"/>
      <c r="L315" s="23">
        <v>11</v>
      </c>
      <c r="M315" s="8">
        <f t="shared" si="30"/>
        <v>6008.4745762711864</v>
      </c>
      <c r="N315" s="9">
        <f t="shared" si="31"/>
        <v>5347.5423728813557</v>
      </c>
      <c r="O315" s="10">
        <f t="shared" si="18"/>
        <v>6310.0999999999995</v>
      </c>
      <c r="P315" s="11">
        <v>7090</v>
      </c>
      <c r="Q315" s="12">
        <f>P315*1.8+28</f>
        <v>12790</v>
      </c>
    </row>
    <row r="316" spans="1:17" ht="15.75" customHeight="1">
      <c r="A316" s="87"/>
      <c r="B316" s="47"/>
      <c r="C316" s="47"/>
      <c r="D316" s="47"/>
      <c r="E316" s="47"/>
      <c r="F316" s="47"/>
      <c r="G316" s="48"/>
      <c r="H316" s="21" t="s">
        <v>24</v>
      </c>
      <c r="I316" s="21">
        <v>20</v>
      </c>
      <c r="J316" s="5" t="s">
        <v>17</v>
      </c>
      <c r="K316" s="22"/>
      <c r="L316" s="23">
        <v>11</v>
      </c>
      <c r="M316" s="8">
        <f t="shared" si="30"/>
        <v>23720.338983050849</v>
      </c>
      <c r="N316" s="9">
        <f t="shared" si="31"/>
        <v>21111.101694915254</v>
      </c>
      <c r="O316" s="10">
        <f t="shared" si="18"/>
        <v>24911.1</v>
      </c>
      <c r="P316" s="11">
        <v>27990</v>
      </c>
      <c r="Q316" s="12">
        <f>P316*1.8+8</f>
        <v>50390</v>
      </c>
    </row>
    <row r="317" spans="1:17" ht="15.75" customHeight="1">
      <c r="A317" s="87"/>
      <c r="B317" s="47">
        <v>108</v>
      </c>
      <c r="C317" s="47" t="s">
        <v>13</v>
      </c>
      <c r="D317" s="47" t="s">
        <v>131</v>
      </c>
      <c r="E317" s="47" t="s">
        <v>132</v>
      </c>
      <c r="F317" s="47"/>
      <c r="G317" s="48">
        <v>32099090</v>
      </c>
      <c r="H317" s="21" t="s">
        <v>16</v>
      </c>
      <c r="I317" s="21">
        <v>1</v>
      </c>
      <c r="J317" s="5" t="s">
        <v>17</v>
      </c>
      <c r="K317" s="22"/>
      <c r="L317" s="23">
        <v>11</v>
      </c>
      <c r="M317" s="8">
        <f t="shared" si="30"/>
        <v>364.40677966101697</v>
      </c>
      <c r="N317" s="9">
        <f t="shared" si="31"/>
        <v>324.32203389830511</v>
      </c>
      <c r="O317" s="10">
        <f t="shared" si="18"/>
        <v>382.7</v>
      </c>
      <c r="P317" s="11">
        <v>430</v>
      </c>
      <c r="Q317" s="12">
        <f>P317*1.8+16</f>
        <v>790</v>
      </c>
    </row>
    <row r="318" spans="1:17" ht="15.75" customHeight="1">
      <c r="A318" s="87"/>
      <c r="B318" s="47"/>
      <c r="C318" s="47"/>
      <c r="D318" s="47"/>
      <c r="E318" s="47"/>
      <c r="F318" s="47"/>
      <c r="G318" s="48"/>
      <c r="H318" s="21" t="s">
        <v>16</v>
      </c>
      <c r="I318" s="21">
        <v>3.6</v>
      </c>
      <c r="J318" s="5" t="s">
        <v>17</v>
      </c>
      <c r="K318" s="22"/>
      <c r="L318" s="23">
        <v>11</v>
      </c>
      <c r="M318" s="8">
        <f t="shared" si="30"/>
        <v>1177.9661016949153</v>
      </c>
      <c r="N318" s="9">
        <f t="shared" si="31"/>
        <v>1048.3898305084747</v>
      </c>
      <c r="O318" s="10">
        <f t="shared" si="18"/>
        <v>1237.1000000000001</v>
      </c>
      <c r="P318" s="11">
        <v>1390</v>
      </c>
      <c r="Q318" s="12">
        <f>P318*1.8-12</f>
        <v>2490</v>
      </c>
    </row>
    <row r="319" spans="1:17" ht="15.75" customHeight="1">
      <c r="A319" s="87"/>
      <c r="B319" s="47"/>
      <c r="C319" s="47"/>
      <c r="D319" s="47"/>
      <c r="E319" s="47"/>
      <c r="F319" s="47"/>
      <c r="G319" s="48"/>
      <c r="H319" s="21" t="s">
        <v>16</v>
      </c>
      <c r="I319" s="21">
        <v>9.1</v>
      </c>
      <c r="J319" s="5" t="s">
        <v>17</v>
      </c>
      <c r="K319" s="22"/>
      <c r="L319" s="23">
        <v>11</v>
      </c>
      <c r="M319" s="8">
        <f t="shared" si="30"/>
        <v>2872.8813559322034</v>
      </c>
      <c r="N319" s="9">
        <f t="shared" si="31"/>
        <v>2556.8644067796608</v>
      </c>
      <c r="O319" s="10">
        <f t="shared" si="18"/>
        <v>3017.0999999999995</v>
      </c>
      <c r="P319" s="11">
        <v>3390</v>
      </c>
      <c r="Q319" s="12">
        <f>P319*1.8-12</f>
        <v>6090</v>
      </c>
    </row>
    <row r="320" spans="1:17" ht="15.75" customHeight="1">
      <c r="A320" s="87"/>
      <c r="B320" s="47"/>
      <c r="C320" s="47"/>
      <c r="D320" s="47"/>
      <c r="E320" s="47"/>
      <c r="F320" s="47"/>
      <c r="G320" s="48"/>
      <c r="H320" s="21" t="s">
        <v>16</v>
      </c>
      <c r="I320" s="21">
        <v>18.2</v>
      </c>
      <c r="J320" s="5" t="s">
        <v>17</v>
      </c>
      <c r="K320" s="22"/>
      <c r="L320" s="23">
        <v>11</v>
      </c>
      <c r="M320" s="8">
        <f t="shared" si="30"/>
        <v>5500</v>
      </c>
      <c r="N320" s="9">
        <f t="shared" si="31"/>
        <v>4895</v>
      </c>
      <c r="O320" s="10">
        <f t="shared" si="18"/>
        <v>5776.0999999999995</v>
      </c>
      <c r="P320" s="11">
        <v>6490</v>
      </c>
      <c r="Q320" s="12">
        <f>P320*1.8+8</f>
        <v>11690</v>
      </c>
    </row>
    <row r="321" spans="1:17" ht="15.75" customHeight="1">
      <c r="A321" s="87"/>
      <c r="B321" s="47">
        <v>109</v>
      </c>
      <c r="C321" s="47" t="s">
        <v>13</v>
      </c>
      <c r="D321" s="47" t="s">
        <v>131</v>
      </c>
      <c r="E321" s="47" t="s">
        <v>133</v>
      </c>
      <c r="F321" s="47"/>
      <c r="G321" s="48">
        <v>32099090</v>
      </c>
      <c r="H321" s="21" t="s">
        <v>16</v>
      </c>
      <c r="I321" s="21">
        <v>5</v>
      </c>
      <c r="J321" s="5" t="s">
        <v>17</v>
      </c>
      <c r="K321" s="22"/>
      <c r="L321" s="23">
        <v>11</v>
      </c>
      <c r="M321" s="8">
        <f t="shared" si="30"/>
        <v>1432.2033898305085</v>
      </c>
      <c r="N321" s="9">
        <f t="shared" si="31"/>
        <v>1274.6610169491526</v>
      </c>
      <c r="O321" s="10">
        <f t="shared" si="18"/>
        <v>1504.1</v>
      </c>
      <c r="P321" s="11">
        <v>1690</v>
      </c>
      <c r="Q321" s="12">
        <f>P321*1.8-52</f>
        <v>2990</v>
      </c>
    </row>
    <row r="322" spans="1:17" ht="15.75" customHeight="1">
      <c r="A322" s="87"/>
      <c r="B322" s="47"/>
      <c r="C322" s="47"/>
      <c r="D322" s="47"/>
      <c r="E322" s="47"/>
      <c r="F322" s="47"/>
      <c r="G322" s="48"/>
      <c r="H322" s="21" t="s">
        <v>16</v>
      </c>
      <c r="I322" s="21">
        <v>10</v>
      </c>
      <c r="J322" s="5" t="s">
        <v>17</v>
      </c>
      <c r="K322" s="22"/>
      <c r="L322" s="23">
        <v>11</v>
      </c>
      <c r="M322" s="8">
        <f t="shared" si="30"/>
        <v>2788.1355932203392</v>
      </c>
      <c r="N322" s="9">
        <f t="shared" si="31"/>
        <v>2481.4406779661017</v>
      </c>
      <c r="O322" s="10">
        <f t="shared" si="18"/>
        <v>2928.1</v>
      </c>
      <c r="P322" s="11">
        <v>3290</v>
      </c>
      <c r="Q322" s="12">
        <f>P322*1.8-32</f>
        <v>5890</v>
      </c>
    </row>
    <row r="323" spans="1:17" ht="15.75" customHeight="1">
      <c r="A323" s="87"/>
      <c r="B323" s="47"/>
      <c r="C323" s="47"/>
      <c r="D323" s="47"/>
      <c r="E323" s="47"/>
      <c r="F323" s="47"/>
      <c r="G323" s="48"/>
      <c r="H323" s="21" t="s">
        <v>16</v>
      </c>
      <c r="I323" s="21">
        <v>20</v>
      </c>
      <c r="J323" s="5" t="s">
        <v>17</v>
      </c>
      <c r="K323" s="22"/>
      <c r="L323" s="23">
        <v>11</v>
      </c>
      <c r="M323" s="8">
        <f t="shared" si="30"/>
        <v>5500</v>
      </c>
      <c r="N323" s="9">
        <f t="shared" si="31"/>
        <v>4895</v>
      </c>
      <c r="O323" s="10">
        <f t="shared" si="18"/>
        <v>5776.0999999999995</v>
      </c>
      <c r="P323" s="11">
        <v>6490</v>
      </c>
      <c r="Q323" s="12">
        <f>P323*1.8+8</f>
        <v>11690</v>
      </c>
    </row>
    <row r="324" spans="1:17" ht="15.75" customHeight="1">
      <c r="A324" s="45" t="s">
        <v>151</v>
      </c>
      <c r="B324" s="1">
        <v>110</v>
      </c>
      <c r="C324" s="1" t="s">
        <v>13</v>
      </c>
      <c r="D324" s="1" t="s">
        <v>31</v>
      </c>
      <c r="E324" s="1" t="s">
        <v>15</v>
      </c>
      <c r="F324" s="1"/>
      <c r="G324" s="2">
        <v>32149090</v>
      </c>
      <c r="H324" s="18" t="s">
        <v>16</v>
      </c>
      <c r="I324" s="18">
        <v>100</v>
      </c>
      <c r="J324" s="18" t="s">
        <v>32</v>
      </c>
      <c r="L324" s="23">
        <v>11</v>
      </c>
      <c r="M324" s="8">
        <f t="shared" si="30"/>
        <v>2788.1355932203392</v>
      </c>
      <c r="N324" s="9">
        <f t="shared" si="31"/>
        <v>2481.4406779661017</v>
      </c>
      <c r="O324" s="10">
        <f t="shared" si="18"/>
        <v>2928.1</v>
      </c>
      <c r="P324" s="11">
        <v>3290</v>
      </c>
      <c r="Q324" s="12">
        <f>P324*1.8-32</f>
        <v>5890</v>
      </c>
    </row>
    <row r="325" spans="1:17" ht="15.75" customHeight="1">
      <c r="A325" s="88" t="s">
        <v>152</v>
      </c>
      <c r="B325" s="47">
        <v>111</v>
      </c>
      <c r="C325" s="47" t="s">
        <v>13</v>
      </c>
      <c r="D325" s="47" t="s">
        <v>84</v>
      </c>
      <c r="E325" s="47" t="s">
        <v>15</v>
      </c>
      <c r="F325" s="47" t="s">
        <v>153</v>
      </c>
      <c r="G325" s="48"/>
      <c r="H325" s="18" t="s">
        <v>16</v>
      </c>
      <c r="I325" s="18">
        <v>1</v>
      </c>
      <c r="J325" s="18" t="s">
        <v>17</v>
      </c>
      <c r="L325" s="23">
        <v>11</v>
      </c>
      <c r="M325" s="8">
        <f t="shared" si="30"/>
        <v>0</v>
      </c>
      <c r="N325" s="9">
        <f t="shared" si="31"/>
        <v>0</v>
      </c>
      <c r="O325" s="10">
        <f t="shared" si="18"/>
        <v>0</v>
      </c>
      <c r="P325" s="11">
        <v>0</v>
      </c>
      <c r="Q325" s="12">
        <f t="shared" ref="Q325:Q333" si="32">P325*1.8</f>
        <v>0</v>
      </c>
    </row>
    <row r="326" spans="1:17" ht="15.75" customHeight="1">
      <c r="A326" s="89"/>
      <c r="B326" s="47"/>
      <c r="C326" s="47"/>
      <c r="D326" s="47"/>
      <c r="E326" s="47"/>
      <c r="F326" s="47"/>
      <c r="G326" s="48"/>
      <c r="H326" s="18" t="s">
        <v>16</v>
      </c>
      <c r="I326" s="18">
        <v>5</v>
      </c>
      <c r="J326" s="18" t="s">
        <v>17</v>
      </c>
      <c r="L326" s="23">
        <v>11</v>
      </c>
      <c r="M326" s="8">
        <f t="shared" si="30"/>
        <v>0</v>
      </c>
      <c r="N326" s="9">
        <f t="shared" si="31"/>
        <v>0</v>
      </c>
      <c r="O326" s="10">
        <f t="shared" si="18"/>
        <v>0</v>
      </c>
      <c r="P326" s="11">
        <v>0</v>
      </c>
      <c r="Q326" s="12">
        <f t="shared" si="32"/>
        <v>0</v>
      </c>
    </row>
    <row r="327" spans="1:17" ht="15.75" customHeight="1">
      <c r="A327" s="90"/>
      <c r="B327" s="47"/>
      <c r="C327" s="47"/>
      <c r="D327" s="47"/>
      <c r="E327" s="47"/>
      <c r="F327" s="47"/>
      <c r="G327" s="48"/>
      <c r="H327" s="18" t="s">
        <v>16</v>
      </c>
      <c r="I327" s="18">
        <v>20</v>
      </c>
      <c r="J327" s="18" t="s">
        <v>17</v>
      </c>
      <c r="L327" s="23">
        <v>11</v>
      </c>
      <c r="M327" s="8">
        <f t="shared" si="30"/>
        <v>0</v>
      </c>
      <c r="N327" s="9">
        <f t="shared" si="31"/>
        <v>0</v>
      </c>
      <c r="O327" s="10">
        <f t="shared" si="18"/>
        <v>0</v>
      </c>
      <c r="P327" s="11">
        <v>0</v>
      </c>
      <c r="Q327" s="12">
        <f t="shared" si="32"/>
        <v>0</v>
      </c>
    </row>
    <row r="328" spans="1:17" ht="15.75" customHeight="1">
      <c r="A328" s="91" t="s">
        <v>154</v>
      </c>
      <c r="B328" s="94">
        <v>112</v>
      </c>
      <c r="C328" s="47" t="s">
        <v>13</v>
      </c>
      <c r="D328" s="47" t="s">
        <v>66</v>
      </c>
      <c r="E328" s="47" t="s">
        <v>155</v>
      </c>
      <c r="F328" s="47"/>
      <c r="G328" s="48"/>
      <c r="H328" s="46" t="s">
        <v>16</v>
      </c>
      <c r="I328" s="18">
        <v>1</v>
      </c>
      <c r="J328" s="18" t="s">
        <v>17</v>
      </c>
      <c r="L328" s="23">
        <v>11</v>
      </c>
      <c r="M328" s="8">
        <f t="shared" si="30"/>
        <v>0</v>
      </c>
      <c r="N328" s="9">
        <f t="shared" si="31"/>
        <v>0</v>
      </c>
      <c r="O328" s="10">
        <f t="shared" si="18"/>
        <v>0</v>
      </c>
      <c r="P328" s="11">
        <v>0</v>
      </c>
      <c r="Q328" s="12">
        <f t="shared" si="32"/>
        <v>0</v>
      </c>
    </row>
    <row r="329" spans="1:17" ht="15.75" customHeight="1">
      <c r="A329" s="92"/>
      <c r="B329" s="94"/>
      <c r="C329" s="47"/>
      <c r="D329" s="47"/>
      <c r="E329" s="47"/>
      <c r="F329" s="47"/>
      <c r="G329" s="48"/>
      <c r="H329" s="46" t="s">
        <v>16</v>
      </c>
      <c r="I329" s="18">
        <v>5</v>
      </c>
      <c r="J329" s="18" t="s">
        <v>17</v>
      </c>
      <c r="L329" s="23">
        <v>11</v>
      </c>
      <c r="M329" s="8">
        <f t="shared" si="30"/>
        <v>0</v>
      </c>
      <c r="N329" s="9">
        <f t="shared" si="31"/>
        <v>0</v>
      </c>
      <c r="O329" s="10">
        <f t="shared" si="18"/>
        <v>0</v>
      </c>
      <c r="P329" s="11">
        <v>0</v>
      </c>
      <c r="Q329" s="12">
        <f t="shared" si="32"/>
        <v>0</v>
      </c>
    </row>
    <row r="330" spans="1:17" ht="15.75" customHeight="1">
      <c r="A330" s="92"/>
      <c r="B330" s="94"/>
      <c r="C330" s="47"/>
      <c r="D330" s="47"/>
      <c r="E330" s="47"/>
      <c r="F330" s="47"/>
      <c r="G330" s="48"/>
      <c r="H330" s="46" t="s">
        <v>16</v>
      </c>
      <c r="I330" s="18">
        <v>20</v>
      </c>
      <c r="J330" s="18" t="s">
        <v>17</v>
      </c>
      <c r="L330" s="23">
        <v>11</v>
      </c>
      <c r="M330" s="8">
        <f t="shared" si="30"/>
        <v>0</v>
      </c>
      <c r="N330" s="9">
        <f t="shared" si="31"/>
        <v>0</v>
      </c>
      <c r="O330" s="10">
        <f t="shared" si="18"/>
        <v>0</v>
      </c>
      <c r="P330" s="11">
        <v>0</v>
      </c>
      <c r="Q330" s="12">
        <f t="shared" si="32"/>
        <v>0</v>
      </c>
    </row>
    <row r="331" spans="1:17" ht="15.75" customHeight="1">
      <c r="A331" s="92"/>
      <c r="B331" s="94">
        <v>113</v>
      </c>
      <c r="C331" s="94" t="s">
        <v>25</v>
      </c>
      <c r="D331" s="94" t="s">
        <v>156</v>
      </c>
      <c r="E331" s="94" t="s">
        <v>157</v>
      </c>
      <c r="F331" s="94"/>
      <c r="G331" s="94"/>
      <c r="H331" s="46" t="s">
        <v>16</v>
      </c>
      <c r="I331" s="18">
        <v>1</v>
      </c>
      <c r="J331" s="18" t="s">
        <v>17</v>
      </c>
      <c r="L331" s="23">
        <v>11</v>
      </c>
      <c r="M331" s="8">
        <f t="shared" si="30"/>
        <v>0</v>
      </c>
      <c r="N331" s="9">
        <f t="shared" si="31"/>
        <v>0</v>
      </c>
      <c r="O331" s="10">
        <f t="shared" si="18"/>
        <v>0</v>
      </c>
      <c r="P331" s="11">
        <v>0</v>
      </c>
      <c r="Q331" s="12">
        <f t="shared" si="32"/>
        <v>0</v>
      </c>
    </row>
    <row r="332" spans="1:17" ht="15.75" customHeight="1">
      <c r="A332" s="92"/>
      <c r="B332" s="94"/>
      <c r="C332" s="94"/>
      <c r="D332" s="94"/>
      <c r="E332" s="94"/>
      <c r="F332" s="94"/>
      <c r="G332" s="94"/>
      <c r="H332" s="46" t="s">
        <v>16</v>
      </c>
      <c r="I332" s="18">
        <v>5</v>
      </c>
      <c r="J332" s="18" t="s">
        <v>17</v>
      </c>
      <c r="L332" s="23">
        <v>11</v>
      </c>
      <c r="M332" s="8">
        <f t="shared" si="30"/>
        <v>0</v>
      </c>
      <c r="N332" s="9">
        <f t="shared" si="31"/>
        <v>0</v>
      </c>
      <c r="O332" s="10">
        <f t="shared" si="18"/>
        <v>0</v>
      </c>
      <c r="P332" s="11">
        <v>0</v>
      </c>
      <c r="Q332" s="12">
        <f t="shared" si="32"/>
        <v>0</v>
      </c>
    </row>
    <row r="333" spans="1:17" ht="15.75" customHeight="1">
      <c r="A333" s="93"/>
      <c r="B333" s="94"/>
      <c r="C333" s="94"/>
      <c r="D333" s="94"/>
      <c r="E333" s="94"/>
      <c r="F333" s="94"/>
      <c r="G333" s="94"/>
      <c r="H333" s="46" t="s">
        <v>16</v>
      </c>
      <c r="I333" s="18">
        <v>20</v>
      </c>
      <c r="J333" s="18" t="s">
        <v>17</v>
      </c>
      <c r="L333" s="23">
        <v>11</v>
      </c>
      <c r="M333" s="8">
        <f t="shared" si="30"/>
        <v>0</v>
      </c>
      <c r="N333" s="9">
        <f t="shared" si="31"/>
        <v>0</v>
      </c>
      <c r="O333" s="10">
        <f t="shared" si="18"/>
        <v>0</v>
      </c>
      <c r="P333" s="11">
        <v>0</v>
      </c>
      <c r="Q333" s="12">
        <f t="shared" si="32"/>
        <v>0</v>
      </c>
    </row>
  </sheetData>
  <mergeCells count="593">
    <mergeCell ref="A325:A327"/>
    <mergeCell ref="B325:B327"/>
    <mergeCell ref="C325:C327"/>
    <mergeCell ref="D325:D327"/>
    <mergeCell ref="E325:E327"/>
    <mergeCell ref="F325:F327"/>
    <mergeCell ref="G325:G327"/>
    <mergeCell ref="A328:A333"/>
    <mergeCell ref="B328:B330"/>
    <mergeCell ref="C328:C330"/>
    <mergeCell ref="D328:D330"/>
    <mergeCell ref="E328:E330"/>
    <mergeCell ref="F328:F330"/>
    <mergeCell ref="G328:G330"/>
    <mergeCell ref="B331:B333"/>
    <mergeCell ref="C331:C333"/>
    <mergeCell ref="D331:D333"/>
    <mergeCell ref="E331:E333"/>
    <mergeCell ref="F331:F333"/>
    <mergeCell ref="G331:G333"/>
    <mergeCell ref="A288:A323"/>
    <mergeCell ref="B300:B301"/>
    <mergeCell ref="C300:C301"/>
    <mergeCell ref="D300:D301"/>
    <mergeCell ref="E300:E301"/>
    <mergeCell ref="F300:F301"/>
    <mergeCell ref="G300:G301"/>
    <mergeCell ref="B302:B303"/>
    <mergeCell ref="C302:C303"/>
    <mergeCell ref="D302:D303"/>
    <mergeCell ref="E302:E303"/>
    <mergeCell ref="F302:F303"/>
    <mergeCell ref="G302:G303"/>
    <mergeCell ref="B304:B305"/>
    <mergeCell ref="C304:C305"/>
    <mergeCell ref="D304:D305"/>
    <mergeCell ref="E304:E305"/>
    <mergeCell ref="F304:F305"/>
    <mergeCell ref="G304:G305"/>
    <mergeCell ref="B306:B307"/>
    <mergeCell ref="C306:C307"/>
    <mergeCell ref="D306:D307"/>
    <mergeCell ref="E306:E307"/>
    <mergeCell ref="F306:F307"/>
    <mergeCell ref="B321:B323"/>
    <mergeCell ref="C321:C323"/>
    <mergeCell ref="D321:D323"/>
    <mergeCell ref="E321:E323"/>
    <mergeCell ref="F321:F323"/>
    <mergeCell ref="G321:G323"/>
    <mergeCell ref="B314:B316"/>
    <mergeCell ref="C314:C316"/>
    <mergeCell ref="D314:D316"/>
    <mergeCell ref="E314:E316"/>
    <mergeCell ref="F314:F316"/>
    <mergeCell ref="G314:G316"/>
    <mergeCell ref="B317:B320"/>
    <mergeCell ref="C317:C320"/>
    <mergeCell ref="D317:D320"/>
    <mergeCell ref="E317:E320"/>
    <mergeCell ref="F317:F320"/>
    <mergeCell ref="G317:G320"/>
    <mergeCell ref="B308:B309"/>
    <mergeCell ref="C308:C309"/>
    <mergeCell ref="D308:D309"/>
    <mergeCell ref="E308:E309"/>
    <mergeCell ref="F308:F309"/>
    <mergeCell ref="G308:G309"/>
    <mergeCell ref="B310:B311"/>
    <mergeCell ref="C310:C311"/>
    <mergeCell ref="D310:D311"/>
    <mergeCell ref="E310:E311"/>
    <mergeCell ref="F310:F311"/>
    <mergeCell ref="G310:G311"/>
    <mergeCell ref="G306:G307"/>
    <mergeCell ref="B289:B292"/>
    <mergeCell ref="C289:C292"/>
    <mergeCell ref="D289:D292"/>
    <mergeCell ref="E289:E292"/>
    <mergeCell ref="F289:F292"/>
    <mergeCell ref="G289:G292"/>
    <mergeCell ref="B293:B295"/>
    <mergeCell ref="C293:C295"/>
    <mergeCell ref="D293:D295"/>
    <mergeCell ref="E293:E295"/>
    <mergeCell ref="F293:F295"/>
    <mergeCell ref="G293:G295"/>
    <mergeCell ref="B296:B299"/>
    <mergeCell ref="C296:C299"/>
    <mergeCell ref="D296:D299"/>
    <mergeCell ref="E296:E299"/>
    <mergeCell ref="F296:F299"/>
    <mergeCell ref="G296:G299"/>
    <mergeCell ref="A260:A287"/>
    <mergeCell ref="B260:B262"/>
    <mergeCell ref="C260:C262"/>
    <mergeCell ref="D260:D262"/>
    <mergeCell ref="E260:E262"/>
    <mergeCell ref="F260:F262"/>
    <mergeCell ref="G260:G262"/>
    <mergeCell ref="B263:B265"/>
    <mergeCell ref="C263:C265"/>
    <mergeCell ref="D263:D265"/>
    <mergeCell ref="E263:E265"/>
    <mergeCell ref="F263:F265"/>
    <mergeCell ref="G263:G265"/>
    <mergeCell ref="B266:B269"/>
    <mergeCell ref="C266:C269"/>
    <mergeCell ref="D266:D269"/>
    <mergeCell ref="E266:E269"/>
    <mergeCell ref="F266:F269"/>
    <mergeCell ref="G266:G269"/>
    <mergeCell ref="B270:B272"/>
    <mergeCell ref="C270:C272"/>
    <mergeCell ref="D270:D272"/>
    <mergeCell ref="E270:E272"/>
    <mergeCell ref="F270:F272"/>
    <mergeCell ref="B254:B256"/>
    <mergeCell ref="C254:C256"/>
    <mergeCell ref="D254:D256"/>
    <mergeCell ref="E254:E256"/>
    <mergeCell ref="F254:F256"/>
    <mergeCell ref="G254:G256"/>
    <mergeCell ref="B257:B259"/>
    <mergeCell ref="C257:C259"/>
    <mergeCell ref="D257:D259"/>
    <mergeCell ref="E257:E259"/>
    <mergeCell ref="F257:F259"/>
    <mergeCell ref="G257:G259"/>
    <mergeCell ref="B248:B250"/>
    <mergeCell ref="C248:C250"/>
    <mergeCell ref="D248:D250"/>
    <mergeCell ref="E248:E250"/>
    <mergeCell ref="F248:F250"/>
    <mergeCell ref="G248:G250"/>
    <mergeCell ref="B251:B253"/>
    <mergeCell ref="C251:C253"/>
    <mergeCell ref="D251:D253"/>
    <mergeCell ref="E251:E253"/>
    <mergeCell ref="F251:F253"/>
    <mergeCell ref="G251:G253"/>
    <mergeCell ref="B242:B244"/>
    <mergeCell ref="C242:C244"/>
    <mergeCell ref="D242:D244"/>
    <mergeCell ref="E242:E244"/>
    <mergeCell ref="F242:F244"/>
    <mergeCell ref="G242:G244"/>
    <mergeCell ref="B245:B247"/>
    <mergeCell ref="C245:C247"/>
    <mergeCell ref="D245:D247"/>
    <mergeCell ref="E245:E247"/>
    <mergeCell ref="F245:F247"/>
    <mergeCell ref="G245:G247"/>
    <mergeCell ref="B236:B238"/>
    <mergeCell ref="C236:C238"/>
    <mergeCell ref="D236:D238"/>
    <mergeCell ref="E236:E238"/>
    <mergeCell ref="F236:F238"/>
    <mergeCell ref="G236:G238"/>
    <mergeCell ref="B239:B241"/>
    <mergeCell ref="C239:C241"/>
    <mergeCell ref="D239:D241"/>
    <mergeCell ref="E239:E241"/>
    <mergeCell ref="F239:F241"/>
    <mergeCell ref="G239:G241"/>
    <mergeCell ref="A1:A2"/>
    <mergeCell ref="B1:F2"/>
    <mergeCell ref="G1:G2"/>
    <mergeCell ref="H1:H2"/>
    <mergeCell ref="I1:I2"/>
    <mergeCell ref="J1:J2"/>
    <mergeCell ref="B15:B18"/>
    <mergeCell ref="C15:C18"/>
    <mergeCell ref="A203:A259"/>
    <mergeCell ref="B209:B211"/>
    <mergeCell ref="C209:C211"/>
    <mergeCell ref="D209:D211"/>
    <mergeCell ref="E209:E211"/>
    <mergeCell ref="F209:F211"/>
    <mergeCell ref="G209:G211"/>
    <mergeCell ref="B212:B215"/>
    <mergeCell ref="C212:C215"/>
    <mergeCell ref="D212:D215"/>
    <mergeCell ref="E212:E215"/>
    <mergeCell ref="F212:F215"/>
    <mergeCell ref="G212:G215"/>
    <mergeCell ref="B216:B218"/>
    <mergeCell ref="C216:C218"/>
    <mergeCell ref="D216:D218"/>
    <mergeCell ref="Q1:Q2"/>
    <mergeCell ref="B3:B6"/>
    <mergeCell ref="C3:C6"/>
    <mergeCell ref="D3:D6"/>
    <mergeCell ref="E3:E6"/>
    <mergeCell ref="F3:F6"/>
    <mergeCell ref="G3:G6"/>
    <mergeCell ref="B7:B10"/>
    <mergeCell ref="C7:C10"/>
    <mergeCell ref="K1:K2"/>
    <mergeCell ref="L1:L2"/>
    <mergeCell ref="M1:M2"/>
    <mergeCell ref="N1:N2"/>
    <mergeCell ref="O1:O2"/>
    <mergeCell ref="P1:P2"/>
    <mergeCell ref="E7:E10"/>
    <mergeCell ref="F7:F10"/>
    <mergeCell ref="G7:G10"/>
    <mergeCell ref="B11:B14"/>
    <mergeCell ref="C11:C14"/>
    <mergeCell ref="D11:D14"/>
    <mergeCell ref="E11:E14"/>
    <mergeCell ref="F11:F14"/>
    <mergeCell ref="G11:G14"/>
    <mergeCell ref="G23:G24"/>
    <mergeCell ref="B19:B22"/>
    <mergeCell ref="C19:C22"/>
    <mergeCell ref="D19:D22"/>
    <mergeCell ref="E19:E22"/>
    <mergeCell ref="F19:F22"/>
    <mergeCell ref="G19:G22"/>
    <mergeCell ref="D15:D18"/>
    <mergeCell ref="E15:E18"/>
    <mergeCell ref="F15:F18"/>
    <mergeCell ref="G15:G18"/>
    <mergeCell ref="G33:G35"/>
    <mergeCell ref="B30:B32"/>
    <mergeCell ref="C30:C32"/>
    <mergeCell ref="D30:D32"/>
    <mergeCell ref="E30:E32"/>
    <mergeCell ref="F30:F32"/>
    <mergeCell ref="G30:G32"/>
    <mergeCell ref="B27:B29"/>
    <mergeCell ref="C27:C29"/>
    <mergeCell ref="D27:D29"/>
    <mergeCell ref="E27:E29"/>
    <mergeCell ref="F27:F29"/>
    <mergeCell ref="G27:G29"/>
    <mergeCell ref="G45:G48"/>
    <mergeCell ref="B41:B44"/>
    <mergeCell ref="C41:C44"/>
    <mergeCell ref="D41:D44"/>
    <mergeCell ref="E41:E44"/>
    <mergeCell ref="F41:F44"/>
    <mergeCell ref="G41:G44"/>
    <mergeCell ref="B36:B39"/>
    <mergeCell ref="C36:C39"/>
    <mergeCell ref="D36:D39"/>
    <mergeCell ref="E36:E39"/>
    <mergeCell ref="F36:F39"/>
    <mergeCell ref="G36:G39"/>
    <mergeCell ref="A3:A51"/>
    <mergeCell ref="A52:A67"/>
    <mergeCell ref="F52:F55"/>
    <mergeCell ref="B64:B67"/>
    <mergeCell ref="C64:C67"/>
    <mergeCell ref="D64:D67"/>
    <mergeCell ref="E64:E67"/>
    <mergeCell ref="F64:F67"/>
    <mergeCell ref="B45:B48"/>
    <mergeCell ref="C45:C48"/>
    <mergeCell ref="D45:D48"/>
    <mergeCell ref="E45:E48"/>
    <mergeCell ref="F45:F48"/>
    <mergeCell ref="B33:B35"/>
    <mergeCell ref="C33:C35"/>
    <mergeCell ref="D33:D35"/>
    <mergeCell ref="E33:E35"/>
    <mergeCell ref="F33:F35"/>
    <mergeCell ref="B23:B24"/>
    <mergeCell ref="C23:C24"/>
    <mergeCell ref="D23:D24"/>
    <mergeCell ref="E23:E24"/>
    <mergeCell ref="F23:F24"/>
    <mergeCell ref="D7:D10"/>
    <mergeCell ref="B49:B50"/>
    <mergeCell ref="C49:C50"/>
    <mergeCell ref="D49:D50"/>
    <mergeCell ref="E49:E50"/>
    <mergeCell ref="F49:F50"/>
    <mergeCell ref="G49:G50"/>
    <mergeCell ref="B52:B55"/>
    <mergeCell ref="C52:C55"/>
    <mergeCell ref="D52:D55"/>
    <mergeCell ref="E52:E55"/>
    <mergeCell ref="B89:B91"/>
    <mergeCell ref="C89:C91"/>
    <mergeCell ref="D89:D91"/>
    <mergeCell ref="E89:E91"/>
    <mergeCell ref="F89:F91"/>
    <mergeCell ref="G89:G91"/>
    <mergeCell ref="F77:F80"/>
    <mergeCell ref="G77:G80"/>
    <mergeCell ref="B81:B84"/>
    <mergeCell ref="C81:C84"/>
    <mergeCell ref="D81:D84"/>
    <mergeCell ref="F85:F88"/>
    <mergeCell ref="G85:G88"/>
    <mergeCell ref="B92:B94"/>
    <mergeCell ref="C92:C94"/>
    <mergeCell ref="D92:D94"/>
    <mergeCell ref="E92:E94"/>
    <mergeCell ref="F92:F94"/>
    <mergeCell ref="G92:G94"/>
    <mergeCell ref="B95:B97"/>
    <mergeCell ref="C95:C97"/>
    <mergeCell ref="D95:D97"/>
    <mergeCell ref="E95:E97"/>
    <mergeCell ref="F95:F97"/>
    <mergeCell ref="G95:G97"/>
    <mergeCell ref="E148:E151"/>
    <mergeCell ref="G148:G151"/>
    <mergeCell ref="B123:B125"/>
    <mergeCell ref="C123:C125"/>
    <mergeCell ref="D123:D125"/>
    <mergeCell ref="E123:E125"/>
    <mergeCell ref="F123:F125"/>
    <mergeCell ref="B99:B101"/>
    <mergeCell ref="C99:C101"/>
    <mergeCell ref="D99:D101"/>
    <mergeCell ref="E99:E101"/>
    <mergeCell ref="F99:F101"/>
    <mergeCell ref="G99:G101"/>
    <mergeCell ref="B102:B104"/>
    <mergeCell ref="C102:C104"/>
    <mergeCell ref="D102:D104"/>
    <mergeCell ref="E102:E104"/>
    <mergeCell ref="F102:F104"/>
    <mergeCell ref="G102:G104"/>
    <mergeCell ref="B105:B106"/>
    <mergeCell ref="C105:C106"/>
    <mergeCell ref="D105:D106"/>
    <mergeCell ref="E105:E106"/>
    <mergeCell ref="F105:F106"/>
    <mergeCell ref="G164:G167"/>
    <mergeCell ref="B152:B155"/>
    <mergeCell ref="C152:C155"/>
    <mergeCell ref="D152:D155"/>
    <mergeCell ref="E152:E155"/>
    <mergeCell ref="G152:G155"/>
    <mergeCell ref="B156:B159"/>
    <mergeCell ref="C156:C159"/>
    <mergeCell ref="D156:D159"/>
    <mergeCell ref="E156:E159"/>
    <mergeCell ref="F156:F159"/>
    <mergeCell ref="G156:G159"/>
    <mergeCell ref="B200:B202"/>
    <mergeCell ref="C200:C202"/>
    <mergeCell ref="D200:D202"/>
    <mergeCell ref="E200:E202"/>
    <mergeCell ref="F200:F202"/>
    <mergeCell ref="G200:G202"/>
    <mergeCell ref="B176:B179"/>
    <mergeCell ref="C176:C179"/>
    <mergeCell ref="D176:D179"/>
    <mergeCell ref="E176:E179"/>
    <mergeCell ref="F176:F179"/>
    <mergeCell ref="B184:B187"/>
    <mergeCell ref="C184:C187"/>
    <mergeCell ref="D184:D187"/>
    <mergeCell ref="E184:E187"/>
    <mergeCell ref="F184:F187"/>
    <mergeCell ref="G184:G187"/>
    <mergeCell ref="B188:B191"/>
    <mergeCell ref="C188:C191"/>
    <mergeCell ref="D188:D191"/>
    <mergeCell ref="E188:E191"/>
    <mergeCell ref="F188:F191"/>
    <mergeCell ref="G188:G191"/>
    <mergeCell ref="B192:B195"/>
    <mergeCell ref="G206:G208"/>
    <mergeCell ref="B206:B208"/>
    <mergeCell ref="C206:C208"/>
    <mergeCell ref="D206:D208"/>
    <mergeCell ref="E206:E208"/>
    <mergeCell ref="F206:F208"/>
    <mergeCell ref="B203:B205"/>
    <mergeCell ref="C203:C205"/>
    <mergeCell ref="D203:D205"/>
    <mergeCell ref="E203:E205"/>
    <mergeCell ref="G203:G205"/>
    <mergeCell ref="E216:E218"/>
    <mergeCell ref="F216:F218"/>
    <mergeCell ref="G216:G218"/>
    <mergeCell ref="B227:B229"/>
    <mergeCell ref="G52:G55"/>
    <mergeCell ref="B56:B59"/>
    <mergeCell ref="C56:C59"/>
    <mergeCell ref="D56:D59"/>
    <mergeCell ref="E56:E59"/>
    <mergeCell ref="F56:F59"/>
    <mergeCell ref="G56:G59"/>
    <mergeCell ref="B60:B63"/>
    <mergeCell ref="C60:C63"/>
    <mergeCell ref="D60:D63"/>
    <mergeCell ref="E60:E63"/>
    <mergeCell ref="F60:F63"/>
    <mergeCell ref="G60:G63"/>
    <mergeCell ref="G64:G67"/>
    <mergeCell ref="F81:F84"/>
    <mergeCell ref="G81:G84"/>
    <mergeCell ref="B85:B88"/>
    <mergeCell ref="C85:C88"/>
    <mergeCell ref="D85:D88"/>
    <mergeCell ref="E85:E88"/>
    <mergeCell ref="A68:A128"/>
    <mergeCell ref="B68:B70"/>
    <mergeCell ref="C68:C70"/>
    <mergeCell ref="D68:D70"/>
    <mergeCell ref="E68:E70"/>
    <mergeCell ref="F68:F70"/>
    <mergeCell ref="G68:G70"/>
    <mergeCell ref="B71:B73"/>
    <mergeCell ref="C71:C73"/>
    <mergeCell ref="D71:D73"/>
    <mergeCell ref="E71:E73"/>
    <mergeCell ref="F71:F73"/>
    <mergeCell ref="G71:G73"/>
    <mergeCell ref="B74:B76"/>
    <mergeCell ref="C74:C76"/>
    <mergeCell ref="D74:D76"/>
    <mergeCell ref="E74:E76"/>
    <mergeCell ref="F74:F76"/>
    <mergeCell ref="G74:G76"/>
    <mergeCell ref="B77:B80"/>
    <mergeCell ref="C77:C80"/>
    <mergeCell ref="D77:D80"/>
    <mergeCell ref="E77:E80"/>
    <mergeCell ref="E81:E84"/>
    <mergeCell ref="G105:G106"/>
    <mergeCell ref="B108:B110"/>
    <mergeCell ref="C108:C110"/>
    <mergeCell ref="D108:D110"/>
    <mergeCell ref="E108:E110"/>
    <mergeCell ref="F108:F110"/>
    <mergeCell ref="G108:G110"/>
    <mergeCell ref="B111:B113"/>
    <mergeCell ref="C111:C113"/>
    <mergeCell ref="D111:D113"/>
    <mergeCell ref="E111:E113"/>
    <mergeCell ref="F111:F113"/>
    <mergeCell ref="G111:G113"/>
    <mergeCell ref="B114:B116"/>
    <mergeCell ref="C114:C116"/>
    <mergeCell ref="D114:D116"/>
    <mergeCell ref="E114:E116"/>
    <mergeCell ref="F114:F116"/>
    <mergeCell ref="G114:G116"/>
    <mergeCell ref="B117:B119"/>
    <mergeCell ref="C117:C119"/>
    <mergeCell ref="D117:D119"/>
    <mergeCell ref="E117:E119"/>
    <mergeCell ref="F117:F119"/>
    <mergeCell ref="G117:G119"/>
    <mergeCell ref="B120:B122"/>
    <mergeCell ref="C120:C122"/>
    <mergeCell ref="D120:D122"/>
    <mergeCell ref="E120:E122"/>
    <mergeCell ref="F120:F122"/>
    <mergeCell ref="G120:G122"/>
    <mergeCell ref="G123:G125"/>
    <mergeCell ref="B126:B128"/>
    <mergeCell ref="C126:C128"/>
    <mergeCell ref="D126:D128"/>
    <mergeCell ref="E126:E128"/>
    <mergeCell ref="F126:F128"/>
    <mergeCell ref="G126:G128"/>
    <mergeCell ref="A129:A131"/>
    <mergeCell ref="B129:B131"/>
    <mergeCell ref="C129:C131"/>
    <mergeCell ref="D129:D131"/>
    <mergeCell ref="E129:E131"/>
    <mergeCell ref="F129:F131"/>
    <mergeCell ref="G129:G131"/>
    <mergeCell ref="A132:A202"/>
    <mergeCell ref="B132:B135"/>
    <mergeCell ref="C132:C135"/>
    <mergeCell ref="D132:D135"/>
    <mergeCell ref="E132:E135"/>
    <mergeCell ref="G132:G135"/>
    <mergeCell ref="B136:B139"/>
    <mergeCell ref="C136:C139"/>
    <mergeCell ref="D136:D139"/>
    <mergeCell ref="E136:E139"/>
    <mergeCell ref="G136:G139"/>
    <mergeCell ref="B140:B143"/>
    <mergeCell ref="C140:C143"/>
    <mergeCell ref="D140:D143"/>
    <mergeCell ref="E140:E143"/>
    <mergeCell ref="G140:G143"/>
    <mergeCell ref="B144:B147"/>
    <mergeCell ref="C144:C147"/>
    <mergeCell ref="D144:D147"/>
    <mergeCell ref="E144:E147"/>
    <mergeCell ref="G144:G147"/>
    <mergeCell ref="B148:B151"/>
    <mergeCell ref="C148:C151"/>
    <mergeCell ref="D148:D151"/>
    <mergeCell ref="B168:B171"/>
    <mergeCell ref="C168:C171"/>
    <mergeCell ref="D168:D171"/>
    <mergeCell ref="E168:E171"/>
    <mergeCell ref="F168:F171"/>
    <mergeCell ref="G168:G171"/>
    <mergeCell ref="B160:B163"/>
    <mergeCell ref="C160:C163"/>
    <mergeCell ref="D160:D163"/>
    <mergeCell ref="E160:E163"/>
    <mergeCell ref="F160:F163"/>
    <mergeCell ref="G160:G163"/>
    <mergeCell ref="B164:B167"/>
    <mergeCell ref="C164:C167"/>
    <mergeCell ref="D164:D167"/>
    <mergeCell ref="E164:E167"/>
    <mergeCell ref="F164:F167"/>
    <mergeCell ref="B172:B175"/>
    <mergeCell ref="C172:C175"/>
    <mergeCell ref="D172:D175"/>
    <mergeCell ref="E172:E175"/>
    <mergeCell ref="F172:F175"/>
    <mergeCell ref="G172:G175"/>
    <mergeCell ref="G176:G179"/>
    <mergeCell ref="B180:B183"/>
    <mergeCell ref="C180:C183"/>
    <mergeCell ref="D180:D183"/>
    <mergeCell ref="E180:E183"/>
    <mergeCell ref="F180:F183"/>
    <mergeCell ref="G180:G183"/>
    <mergeCell ref="C192:C195"/>
    <mergeCell ref="D192:D195"/>
    <mergeCell ref="E192:E195"/>
    <mergeCell ref="F192:F195"/>
    <mergeCell ref="G192:G195"/>
    <mergeCell ref="M197:Q197"/>
    <mergeCell ref="B198:B199"/>
    <mergeCell ref="C198:C199"/>
    <mergeCell ref="D198:D199"/>
    <mergeCell ref="E198:E199"/>
    <mergeCell ref="F198:F199"/>
    <mergeCell ref="G198:G199"/>
    <mergeCell ref="B224:B226"/>
    <mergeCell ref="C224:C226"/>
    <mergeCell ref="D224:D226"/>
    <mergeCell ref="E224:E226"/>
    <mergeCell ref="F224:F226"/>
    <mergeCell ref="G224:G226"/>
    <mergeCell ref="C227:C229"/>
    <mergeCell ref="D227:D229"/>
    <mergeCell ref="E227:E229"/>
    <mergeCell ref="F227:F229"/>
    <mergeCell ref="G227:G229"/>
    <mergeCell ref="B230:B232"/>
    <mergeCell ref="C230:C232"/>
    <mergeCell ref="D230:D232"/>
    <mergeCell ref="E230:E232"/>
    <mergeCell ref="F230:F232"/>
    <mergeCell ref="G230:G232"/>
    <mergeCell ref="B233:B235"/>
    <mergeCell ref="C233:C235"/>
    <mergeCell ref="D233:D235"/>
    <mergeCell ref="E233:E235"/>
    <mergeCell ref="F233:F235"/>
    <mergeCell ref="G233:G235"/>
    <mergeCell ref="B276:B278"/>
    <mergeCell ref="C276:C278"/>
    <mergeCell ref="D276:D278"/>
    <mergeCell ref="E276:E278"/>
    <mergeCell ref="F276:F278"/>
    <mergeCell ref="G276:G278"/>
    <mergeCell ref="G270:G272"/>
    <mergeCell ref="B273:B275"/>
    <mergeCell ref="C273:C275"/>
    <mergeCell ref="D273:D275"/>
    <mergeCell ref="E273:E275"/>
    <mergeCell ref="F273:F275"/>
    <mergeCell ref="G273:G275"/>
    <mergeCell ref="B285:B287"/>
    <mergeCell ref="C285:C287"/>
    <mergeCell ref="D285:D287"/>
    <mergeCell ref="E285:E287"/>
    <mergeCell ref="F285:F287"/>
    <mergeCell ref="G285:G287"/>
    <mergeCell ref="B279:B281"/>
    <mergeCell ref="C279:C281"/>
    <mergeCell ref="D279:D281"/>
    <mergeCell ref="E279:E281"/>
    <mergeCell ref="F279:F281"/>
    <mergeCell ref="G279:G281"/>
    <mergeCell ref="B282:B284"/>
    <mergeCell ref="C282:C284"/>
    <mergeCell ref="D282:D284"/>
    <mergeCell ref="E282:E284"/>
    <mergeCell ref="F282:F284"/>
    <mergeCell ref="G282:G284"/>
  </mergeCells>
  <pageMargins left="0.11811023622047245" right="0" top="0.15748031496062992" bottom="0.15748031496062992" header="0.31496062992125984" footer="0.31496062992125984"/>
  <pageSetup paperSize="9" scale="79" fitToHeight="1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Somendra yadav</dc:creator>
  <cp:lastModifiedBy>Somendra yadav</cp:lastModifiedBy>
  <cp:lastPrinted>2025-11-14T09:06:47Z</cp:lastPrinted>
  <dcterms:created xsi:type="dcterms:W3CDTF">2025-11-13T15:15:35Z</dcterms:created>
  <dcterms:modified xsi:type="dcterms:W3CDTF">2025-11-19T07:13:10Z</dcterms:modified>
</cp:coreProperties>
</file>